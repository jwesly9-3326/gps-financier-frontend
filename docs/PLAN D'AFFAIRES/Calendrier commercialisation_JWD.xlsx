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desir\Desktop\Desir&amp;Co\Étude\Cours\Outils\"/>
    </mc:Choice>
  </mc:AlternateContent>
  <bookViews>
    <workbookView xWindow="0" yWindow="0" windowWidth="28800" windowHeight="13020"/>
  </bookViews>
  <sheets>
    <sheet name="Annee_01" sheetId="1" r:id="rId1"/>
    <sheet name="Annee_02" sheetId="4" r:id="rId2"/>
    <sheet name="Exemple" sheetId="3" state="hidden" r:id="rId3"/>
  </sheets>
  <calcPr calcId="162913"/>
</workbook>
</file>

<file path=xl/calcChain.xml><?xml version="1.0" encoding="utf-8"?>
<calcChain xmlns="http://schemas.openxmlformats.org/spreadsheetml/2006/main">
  <c r="P32" i="4" l="1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Q31" i="4"/>
  <c r="Q30" i="4"/>
  <c r="Q29" i="4"/>
  <c r="Q28" i="4"/>
  <c r="Q27" i="4"/>
  <c r="Q26" i="4"/>
  <c r="P23" i="4"/>
  <c r="O23" i="4"/>
  <c r="N23" i="4"/>
  <c r="M23" i="4"/>
  <c r="L23" i="4"/>
  <c r="K23" i="4"/>
  <c r="J23" i="4"/>
  <c r="I23" i="4"/>
  <c r="H23" i="4"/>
  <c r="G23" i="4"/>
  <c r="F23" i="4"/>
  <c r="E23" i="4"/>
  <c r="Q21" i="4"/>
  <c r="P20" i="4"/>
  <c r="O20" i="4"/>
  <c r="N20" i="4"/>
  <c r="M20" i="4"/>
  <c r="L20" i="4"/>
  <c r="K20" i="4"/>
  <c r="J20" i="4"/>
  <c r="I20" i="4"/>
  <c r="H20" i="4"/>
  <c r="G20" i="4"/>
  <c r="Q20" i="4" s="1"/>
  <c r="Q19" i="4"/>
  <c r="P18" i="4"/>
  <c r="O18" i="4"/>
  <c r="N18" i="4"/>
  <c r="M18" i="4"/>
  <c r="L18" i="4"/>
  <c r="K18" i="4"/>
  <c r="J18" i="4"/>
  <c r="I18" i="4"/>
  <c r="Q18" i="4" s="1"/>
  <c r="H18" i="4"/>
  <c r="G18" i="4"/>
  <c r="Q17" i="4"/>
  <c r="P16" i="4"/>
  <c r="O16" i="4"/>
  <c r="N16" i="4"/>
  <c r="M16" i="4"/>
  <c r="L16" i="4"/>
  <c r="K16" i="4"/>
  <c r="J16" i="4"/>
  <c r="I16" i="4"/>
  <c r="H16" i="4"/>
  <c r="G16" i="4"/>
  <c r="Q16" i="4" s="1"/>
  <c r="Q15" i="4"/>
  <c r="P14" i="4"/>
  <c r="O14" i="4"/>
  <c r="N14" i="4"/>
  <c r="M14" i="4"/>
  <c r="L14" i="4"/>
  <c r="K14" i="4"/>
  <c r="J14" i="4"/>
  <c r="I14" i="4"/>
  <c r="H14" i="4"/>
  <c r="G14" i="4"/>
  <c r="F14" i="4"/>
  <c r="E14" i="4"/>
  <c r="Q13" i="4"/>
  <c r="P12" i="4"/>
  <c r="O12" i="4"/>
  <c r="N12" i="4"/>
  <c r="M12" i="4"/>
  <c r="L12" i="4"/>
  <c r="K12" i="4"/>
  <c r="J12" i="4"/>
  <c r="I12" i="4"/>
  <c r="H12" i="4"/>
  <c r="G12" i="4"/>
  <c r="F12" i="4"/>
  <c r="E12" i="4"/>
  <c r="Q11" i="4"/>
  <c r="P10" i="4"/>
  <c r="P22" i="4" s="1"/>
  <c r="O10" i="4"/>
  <c r="N10" i="4"/>
  <c r="N22" i="4" s="1"/>
  <c r="M10" i="4"/>
  <c r="L10" i="4"/>
  <c r="K10" i="4"/>
  <c r="J10" i="4"/>
  <c r="I10" i="4"/>
  <c r="H10" i="4"/>
  <c r="H22" i="4" s="1"/>
  <c r="G10" i="4"/>
  <c r="F10" i="4"/>
  <c r="E10" i="4"/>
  <c r="F22" i="4" l="1"/>
  <c r="Q32" i="4"/>
  <c r="Q14" i="4"/>
  <c r="E22" i="4"/>
  <c r="E33" i="4" s="1"/>
  <c r="I22" i="4"/>
  <c r="I33" i="4" s="1"/>
  <c r="J22" i="4"/>
  <c r="J33" i="4" s="1"/>
  <c r="L22" i="4"/>
  <c r="L33" i="4" s="1"/>
  <c r="K22" i="4"/>
  <c r="K33" i="4" s="1"/>
  <c r="M22" i="4"/>
  <c r="M33" i="4" s="1"/>
  <c r="Q23" i="4"/>
  <c r="G22" i="4"/>
  <c r="G33" i="4" s="1"/>
  <c r="O22" i="4"/>
  <c r="O33" i="4" s="1"/>
  <c r="F33" i="4"/>
  <c r="N33" i="4"/>
  <c r="H33" i="4"/>
  <c r="P33" i="4"/>
  <c r="Q12" i="4"/>
  <c r="Q10" i="4"/>
  <c r="Q22" i="4" l="1"/>
  <c r="Q33" i="4" l="1"/>
  <c r="P31" i="3"/>
  <c r="O31" i="3"/>
  <c r="N31" i="3"/>
  <c r="N32" i="3" s="1"/>
  <c r="M31" i="3"/>
  <c r="L31" i="3"/>
  <c r="K31" i="3"/>
  <c r="J31" i="3"/>
  <c r="I31" i="3"/>
  <c r="I32" i="3" s="1"/>
  <c r="H31" i="3"/>
  <c r="G31" i="3"/>
  <c r="F31" i="3"/>
  <c r="F32" i="3" s="1"/>
  <c r="E31" i="3"/>
  <c r="D31" i="3"/>
  <c r="C31" i="3"/>
  <c r="B31" i="3"/>
  <c r="Q30" i="3"/>
  <c r="Q29" i="3"/>
  <c r="Q28" i="3"/>
  <c r="Q31" i="3" s="1"/>
  <c r="Q27" i="3"/>
  <c r="Q26" i="3"/>
  <c r="Q25" i="3"/>
  <c r="N22" i="3"/>
  <c r="F22" i="3"/>
  <c r="P20" i="3"/>
  <c r="O20" i="3"/>
  <c r="N20" i="3"/>
  <c r="M20" i="3"/>
  <c r="L20" i="3"/>
  <c r="K20" i="3"/>
  <c r="J20" i="3"/>
  <c r="I20" i="3"/>
  <c r="H20" i="3"/>
  <c r="G20" i="3"/>
  <c r="F20" i="3"/>
  <c r="E20" i="3"/>
  <c r="Q20" i="3" s="1"/>
  <c r="P18" i="3"/>
  <c r="O18" i="3"/>
  <c r="N18" i="3"/>
  <c r="M18" i="3"/>
  <c r="L18" i="3"/>
  <c r="K18" i="3"/>
  <c r="J18" i="3"/>
  <c r="I18" i="3"/>
  <c r="H18" i="3"/>
  <c r="G18" i="3"/>
  <c r="Q18" i="3" s="1"/>
  <c r="F18" i="3"/>
  <c r="E18" i="3"/>
  <c r="P16" i="3"/>
  <c r="O16" i="3"/>
  <c r="N16" i="3"/>
  <c r="M16" i="3"/>
  <c r="L16" i="3"/>
  <c r="K16" i="3"/>
  <c r="J16" i="3"/>
  <c r="I16" i="3"/>
  <c r="H16" i="3"/>
  <c r="G16" i="3"/>
  <c r="F16" i="3"/>
  <c r="E16" i="3"/>
  <c r="Q16" i="3" s="1"/>
  <c r="P14" i="3"/>
  <c r="O14" i="3"/>
  <c r="N14" i="3"/>
  <c r="M14" i="3"/>
  <c r="L14" i="3"/>
  <c r="K14" i="3"/>
  <c r="J14" i="3"/>
  <c r="I14" i="3"/>
  <c r="Q14" i="3" s="1"/>
  <c r="H14" i="3"/>
  <c r="G14" i="3"/>
  <c r="F14" i="3"/>
  <c r="E14" i="3"/>
  <c r="P12" i="3"/>
  <c r="P22" i="3" s="1"/>
  <c r="O12" i="3"/>
  <c r="O22" i="3" s="1"/>
  <c r="N12" i="3"/>
  <c r="M12" i="3"/>
  <c r="L12" i="3"/>
  <c r="K12" i="3"/>
  <c r="J12" i="3"/>
  <c r="I12" i="3"/>
  <c r="I22" i="3" s="1"/>
  <c r="H12" i="3"/>
  <c r="H22" i="3" s="1"/>
  <c r="G12" i="3"/>
  <c r="G22" i="3" s="1"/>
  <c r="F12" i="3"/>
  <c r="Q12" i="3" s="1"/>
  <c r="E12" i="3"/>
  <c r="P10" i="3"/>
  <c r="O10" i="3"/>
  <c r="N10" i="3"/>
  <c r="M10" i="3"/>
  <c r="M22" i="3" s="1"/>
  <c r="M32" i="3" s="1"/>
  <c r="L10" i="3"/>
  <c r="L22" i="3" s="1"/>
  <c r="L32" i="3" s="1"/>
  <c r="K10" i="3"/>
  <c r="K22" i="3" s="1"/>
  <c r="K32" i="3" s="1"/>
  <c r="J10" i="3"/>
  <c r="J22" i="3" s="1"/>
  <c r="J32" i="3" s="1"/>
  <c r="I10" i="3"/>
  <c r="H10" i="3"/>
  <c r="G10" i="3"/>
  <c r="F10" i="3"/>
  <c r="E10" i="3"/>
  <c r="Q10" i="3" s="1"/>
  <c r="Q22" i="3" s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Q31" i="1"/>
  <c r="Q30" i="1"/>
  <c r="Q29" i="1"/>
  <c r="Q28" i="1"/>
  <c r="Q27" i="1"/>
  <c r="Q26" i="1"/>
  <c r="P23" i="1"/>
  <c r="O23" i="1"/>
  <c r="N23" i="1"/>
  <c r="M23" i="1"/>
  <c r="L23" i="1"/>
  <c r="K23" i="1"/>
  <c r="J23" i="1"/>
  <c r="I23" i="1"/>
  <c r="H23" i="1"/>
  <c r="G23" i="1"/>
  <c r="F23" i="1"/>
  <c r="E23" i="1"/>
  <c r="F22" i="1"/>
  <c r="E22" i="1"/>
  <c r="Q21" i="1"/>
  <c r="P20" i="1"/>
  <c r="O20" i="1"/>
  <c r="N20" i="1"/>
  <c r="M20" i="1"/>
  <c r="L20" i="1"/>
  <c r="K20" i="1"/>
  <c r="J20" i="1"/>
  <c r="I20" i="1"/>
  <c r="H20" i="1"/>
  <c r="G20" i="1"/>
  <c r="Q19" i="1"/>
  <c r="P18" i="1"/>
  <c r="O18" i="1"/>
  <c r="N18" i="1"/>
  <c r="M18" i="1"/>
  <c r="L18" i="1"/>
  <c r="K18" i="1"/>
  <c r="J18" i="1"/>
  <c r="I18" i="1"/>
  <c r="H18" i="1"/>
  <c r="G18" i="1"/>
  <c r="Q17" i="1"/>
  <c r="P16" i="1"/>
  <c r="O16" i="1"/>
  <c r="N16" i="1"/>
  <c r="M16" i="1"/>
  <c r="L16" i="1"/>
  <c r="K16" i="1"/>
  <c r="J16" i="1"/>
  <c r="I16" i="1"/>
  <c r="H16" i="1"/>
  <c r="G16" i="1"/>
  <c r="Q15" i="1"/>
  <c r="P14" i="1"/>
  <c r="O14" i="1"/>
  <c r="N14" i="1"/>
  <c r="M14" i="1"/>
  <c r="L14" i="1"/>
  <c r="K14" i="1"/>
  <c r="J14" i="1"/>
  <c r="I14" i="1"/>
  <c r="H14" i="1"/>
  <c r="Q13" i="1"/>
  <c r="P12" i="1"/>
  <c r="O12" i="1"/>
  <c r="N12" i="1"/>
  <c r="M12" i="1"/>
  <c r="L12" i="1"/>
  <c r="K12" i="1"/>
  <c r="J12" i="1"/>
  <c r="I12" i="1"/>
  <c r="H12" i="1"/>
  <c r="Q11" i="1"/>
  <c r="P10" i="1"/>
  <c r="O10" i="1"/>
  <c r="N10" i="1"/>
  <c r="M10" i="1"/>
  <c r="L10" i="1"/>
  <c r="K10" i="1"/>
  <c r="J10" i="1"/>
  <c r="I10" i="1"/>
  <c r="H10" i="1"/>
  <c r="I22" i="1" l="1"/>
  <c r="I33" i="1" s="1"/>
  <c r="J22" i="1"/>
  <c r="J33" i="1" s="1"/>
  <c r="Q23" i="1"/>
  <c r="M22" i="1"/>
  <c r="M33" i="1" s="1"/>
  <c r="N22" i="1"/>
  <c r="N33" i="1" s="1"/>
  <c r="Q20" i="1"/>
  <c r="G22" i="1"/>
  <c r="G33" i="1" s="1"/>
  <c r="O22" i="1"/>
  <c r="O33" i="1" s="1"/>
  <c r="Q12" i="1"/>
  <c r="L22" i="1"/>
  <c r="L33" i="1" s="1"/>
  <c r="Q14" i="1"/>
  <c r="Q16" i="1"/>
  <c r="E33" i="1"/>
  <c r="K22" i="1"/>
  <c r="K33" i="1" s="1"/>
  <c r="H22" i="1"/>
  <c r="H33" i="1" s="1"/>
  <c r="P22" i="1"/>
  <c r="P33" i="1" s="1"/>
  <c r="Q18" i="1"/>
  <c r="Q32" i="1"/>
  <c r="Q32" i="3"/>
  <c r="G32" i="3"/>
  <c r="O32" i="3"/>
  <c r="H32" i="3"/>
  <c r="P32" i="3"/>
  <c r="E22" i="3"/>
  <c r="E32" i="3" s="1"/>
  <c r="F33" i="1"/>
  <c r="Q10" i="1"/>
  <c r="Q22" i="1" l="1"/>
  <c r="Q33" i="1" s="1"/>
</calcChain>
</file>

<file path=xl/comments1.xml><?xml version="1.0" encoding="utf-8"?>
<comments xmlns="http://schemas.openxmlformats.org/spreadsheetml/2006/main">
  <authors>
    <author/>
  </authors>
  <commentList>
    <comment ref="E6" authorId="0" shapeId="0">
      <text>
        <r>
          <rPr>
            <sz val="12"/>
            <color theme="1"/>
            <rFont val="Calibri"/>
            <scheme val="minor"/>
          </rPr>
          <t xml:space="preserve">cfnt:
Ajustez le calendrier en fonction de votre premier mois d'activité. 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6" authorId="0" shapeId="0">
      <text>
        <r>
          <rPr>
            <sz val="12"/>
            <color theme="1"/>
            <rFont val="Calibri"/>
            <scheme val="minor"/>
          </rPr>
          <t xml:space="preserve">cfnt:
Ajustez le calendrier en fonction de votre premier mois d'activité. 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E6" authorId="0" shapeId="0">
      <text>
        <r>
          <rPr>
            <sz val="12"/>
            <color theme="1"/>
            <rFont val="Calibri"/>
            <scheme val="minor"/>
          </rPr>
          <t xml:space="preserve">cfnt:
Ajustez le calendrier en fonction de votre premier mois d'activité. </t>
        </r>
      </text>
    </comment>
    <comment ref="A9" authorId="0" shapeId="0">
      <text>
        <r>
          <rPr>
            <sz val="12"/>
            <color theme="1"/>
            <rFont val="Calibri"/>
            <scheme val="minor"/>
          </rPr>
          <t>cfnt:
Définir au plus 6 catégorie car Prévipto n'accepte pas plus de 6</t>
        </r>
      </text>
    </comment>
  </commentList>
</comments>
</file>

<file path=xl/sharedStrings.xml><?xml version="1.0" encoding="utf-8"?>
<sst xmlns="http://schemas.openxmlformats.org/spreadsheetml/2006/main" count="250" uniqueCount="75">
  <si>
    <t xml:space="preserve">FACTEURS D'IMPACTS SUR LES VENTES </t>
  </si>
  <si>
    <r>
      <rPr>
        <b/>
        <sz val="12"/>
        <color theme="1"/>
        <rFont val="Arial"/>
      </rPr>
      <t>Exemples</t>
    </r>
    <r>
      <rPr>
        <sz val="12"/>
        <color theme="1"/>
        <rFont val="Arial"/>
      </rPr>
      <t xml:space="preserve">
</t>
    </r>
    <r>
      <rPr>
        <sz val="11"/>
        <color theme="1"/>
        <rFont val="Arial"/>
      </rPr>
      <t xml:space="preserve">- Saisonnalité/ Cycle de vente spécifique à votre industrie
- Fêtes et saisons au calendrier
- Événements importants de l'industrie (foire, salon, exposition, congrès, etc.) </t>
    </r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</si>
  <si>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</si>
  <si>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</si>
  <si>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</si>
  <si>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</si>
  <si>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</si>
  <si>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</si>
  <si>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</si>
  <si>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</si>
  <si>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</si>
  <si>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</si>
  <si>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</si>
  <si>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</si>
  <si>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 xml:space="preserve">OBJECTIFS DE VENTES </t>
  </si>
  <si>
    <t>Services et/ou produits (Revenus)</t>
  </si>
  <si>
    <t xml:space="preserve">Prix moyen </t>
  </si>
  <si>
    <t>Total</t>
  </si>
  <si>
    <t>Ventes en $</t>
  </si>
  <si>
    <t>Nombre de clients</t>
  </si>
  <si>
    <t xml:space="preserve">TOTAL des objectifs de ventes </t>
  </si>
  <si>
    <t>MOYENS DE COMMERCIALISATION</t>
  </si>
  <si>
    <t>Tactiques marketing (Coûts)</t>
  </si>
  <si>
    <t>90 jours avant jour 1</t>
  </si>
  <si>
    <t>60 jours avant jour 1</t>
  </si>
  <si>
    <t>30 jours avant jour 1</t>
  </si>
  <si>
    <t>Total commercialisation (incluant départ)</t>
  </si>
  <si>
    <t>% budget accordé au marketing sur les ventes</t>
  </si>
  <si>
    <r>
      <rPr>
        <b/>
        <sz val="14"/>
        <color theme="0"/>
        <rFont val="Arial"/>
      </rPr>
      <t xml:space="preserve">CALENDRIER DE COMMERCIALISATION DE </t>
    </r>
    <r>
      <rPr>
        <b/>
        <sz val="14"/>
        <color rgb="FFFFFF00"/>
        <rFont val="Arial"/>
      </rPr>
      <t>FLEURS &amp; CIE</t>
    </r>
  </si>
  <si>
    <r>
      <rPr>
        <b/>
        <sz val="14"/>
        <color theme="1"/>
        <rFont val="Arial"/>
      </rPr>
      <t>Première année d'o</t>
    </r>
    <r>
      <rPr>
        <b/>
        <sz val="14"/>
        <color theme="1"/>
        <rFont val="Arial"/>
      </rPr>
      <t>pération 2023</t>
    </r>
  </si>
  <si>
    <t>FACTEURS D'IMPACTS SUR LES VENTES</t>
  </si>
  <si>
    <t>Aucune fête, budget réduit,..</t>
  </si>
  <si>
    <t>St-Valentin, Mois gris et blues</t>
  </si>
  <si>
    <t>Mariages</t>
  </si>
  <si>
    <t>Graduations, mariages</t>
  </si>
  <si>
    <t xml:space="preserve">Mariages, </t>
  </si>
  <si>
    <t>Réceptions de bureaux</t>
  </si>
  <si>
    <t>Festivités des Fêtes</t>
  </si>
  <si>
    <t xml:space="preserve">Services et/ou produits </t>
  </si>
  <si>
    <t>Bouquets 100$ et moins</t>
  </si>
  <si>
    <t>Ventes</t>
  </si>
  <si>
    <t>Abonnements annuels</t>
  </si>
  <si>
    <t>Vase et éléments décoratifs</t>
  </si>
  <si>
    <t>Plantes de table</t>
  </si>
  <si>
    <t>Plantes 4 pieds et plus</t>
  </si>
  <si>
    <t xml:space="preserve">Bouquets plus de 100$ </t>
  </si>
  <si>
    <t xml:space="preserve">Total ventes services et/ou produits </t>
  </si>
  <si>
    <t>Tactiques marketing (COÛTS)</t>
  </si>
  <si>
    <t>Site WEB avec boutique en ligne</t>
  </si>
  <si>
    <t xml:space="preserve">Salon de la mariée - Location &amp; Kiosque </t>
  </si>
  <si>
    <t>Google ad words et campagnes bannières WEB</t>
  </si>
  <si>
    <t>Partenariat avec Boutiques de décoration &amp; Designer 
(5 points de ventes)</t>
  </si>
  <si>
    <t xml:space="preserve">Total couts de commercialisation </t>
  </si>
  <si>
    <t>Vacance const</t>
  </si>
  <si>
    <t>St-Valentin / Planification de vacance</t>
  </si>
  <si>
    <t>Voyage/Planification de Pâque</t>
  </si>
  <si>
    <t>Pâque / Planification de la fête des mères</t>
  </si>
  <si>
    <t>Fête des mères / Planification de la saison été</t>
  </si>
  <si>
    <t>Période festive / Visuel de planification période de 6 mois</t>
  </si>
  <si>
    <t>Vacance Constr / Planification scolaire</t>
  </si>
  <si>
    <t>École / Planification autômne</t>
  </si>
  <si>
    <t>Halloween / Planification pré-hivers</t>
  </si>
  <si>
    <t>Visuel de planification période de 6 mois / Planification hivers</t>
  </si>
  <si>
    <t>Festivité des fêtes / Boxing day / Vacances</t>
  </si>
  <si>
    <t>Site Web &amp; application</t>
  </si>
  <si>
    <t>Stratégie de référencement</t>
  </si>
  <si>
    <t>Concours - Tirage de prix</t>
  </si>
  <si>
    <t>Première année d'opération (2024-2025)</t>
  </si>
  <si>
    <t xml:space="preserve">CALENDRIER DE COMMERCIALISATION DE (Plateforme - O) </t>
  </si>
  <si>
    <t>Première année d'opération (2025-2026)</t>
  </si>
  <si>
    <t>Mise à jour logiciel - Web &amp; application</t>
  </si>
  <si>
    <t>(Gym) / Période de REER / Impôts / mise à jour visuel de planification période de 6 mois</t>
  </si>
  <si>
    <t>Plan 1</t>
  </si>
  <si>
    <t>Plan 2</t>
  </si>
  <si>
    <t>Plan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</si>
</sst>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7" formatCode="#,##0.00\ &quot;$&quot;_);\(#,##0.00\ &quot;$&quot;\)"/>
    <numFmt numFmtId="44" formatCode="_ * #,##0.00_)\ &quot;$&quot;_ ;_ * \(#,##0.00\)\ &quot;$&quot;_ ;_ * &quot;-&quot;??_)\ &quot;$&quot;_ ;_ @_ "/>
    <numFmt numFmtId="164" formatCode="_ * #,##0.00_)\ [$$-C0C]_ ;_ * \(#,##0.00\)\ [$$-C0C]_ ;_ * &quot;-&quot;??_)\ [$$-C0C]_ ;_ @_ "/>
  </numFmts>
  <fonts count="14" x14ac:knownFonts="1">
    <font>
      <sz val="12"/>
      <color theme="1"/>
      <name val="Calibri"/>
      <scheme val="minor"/>
    </font>
    <font>
      <sz val="12"/>
      <color theme="1"/>
      <name val="Arial"/>
    </font>
    <font>
      <b/>
      <sz val="14"/>
      <color theme="0"/>
      <name val="Arial"/>
    </font>
    <font>
      <sz val="12"/>
      <name val="Calibri"/>
    </font>
    <font>
      <b/>
      <sz val="14"/>
      <color theme="1"/>
      <name val="Arial"/>
    </font>
    <font>
      <b/>
      <sz val="12"/>
      <color theme="0"/>
      <name val="Arial"/>
    </font>
    <font>
      <b/>
      <sz val="12"/>
      <color theme="1"/>
      <name val="Arial"/>
    </font>
    <font>
      <b/>
      <sz val="9"/>
      <color theme="1"/>
      <name val="Arial"/>
    </font>
    <font>
      <i/>
      <sz val="12"/>
      <color theme="1"/>
      <name val="Arial"/>
    </font>
    <font>
      <b/>
      <sz val="10"/>
      <color theme="1"/>
      <name val="Arial"/>
    </font>
    <font>
      <sz val="8"/>
      <color theme="1"/>
      <name val="Arial"/>
    </font>
    <font>
      <sz val="11"/>
      <color theme="1"/>
      <name val="Arial"/>
    </font>
    <font>
      <b/>
      <sz val="14"/>
      <color rgb="FFFFFF00"/>
      <name val="Arial"/>
    </font>
    <font>
      <sz val="12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04E7A"/>
        <bgColor rgb="FF304E7A"/>
      </patternFill>
    </fill>
    <fill>
      <patternFill patternType="solid">
        <fgColor rgb="FFD22F42"/>
        <bgColor rgb="FFD22F42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85">
    <xf numFmtId="0" fontId="0" fillId="0" borderId="0" xfId="0" applyFont="1" applyAlignment="1"/>
    <xf numFmtId="0" fontId="1" fillId="0" borderId="0" xfId="0" applyFont="1"/>
    <xf numFmtId="0" fontId="6" fillId="4" borderId="10" xfId="0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0" fontId="6" fillId="4" borderId="18" xfId="0" applyFont="1" applyFill="1" applyBorder="1" applyAlignment="1">
      <alignment vertical="center"/>
    </xf>
    <xf numFmtId="0" fontId="6" fillId="4" borderId="19" xfId="0" applyFont="1" applyFill="1" applyBorder="1" applyAlignment="1">
      <alignment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164" fontId="1" fillId="0" borderId="26" xfId="0" applyNumberFormat="1" applyFont="1" applyBorder="1" applyAlignment="1">
      <alignment vertical="center"/>
    </xf>
    <xf numFmtId="44" fontId="6" fillId="5" borderId="27" xfId="0" applyNumberFormat="1" applyFont="1" applyFill="1" applyBorder="1" applyAlignment="1">
      <alignment horizontal="center" vertical="center"/>
    </xf>
    <xf numFmtId="0" fontId="1" fillId="0" borderId="28" xfId="0" applyFont="1" applyBorder="1"/>
    <xf numFmtId="1" fontId="1" fillId="0" borderId="32" xfId="0" applyNumberFormat="1" applyFont="1" applyBorder="1" applyAlignment="1">
      <alignment vertical="center"/>
    </xf>
    <xf numFmtId="1" fontId="6" fillId="5" borderId="33" xfId="0" applyNumberFormat="1" applyFont="1" applyFill="1" applyBorder="1" applyAlignment="1">
      <alignment horizontal="center" vertical="center"/>
    </xf>
    <xf numFmtId="164" fontId="1" fillId="0" borderId="35" xfId="0" applyNumberFormat="1" applyFont="1" applyBorder="1" applyAlignment="1">
      <alignment vertical="center"/>
    </xf>
    <xf numFmtId="44" fontId="6" fillId="5" borderId="36" xfId="0" applyNumberFormat="1" applyFont="1" applyFill="1" applyBorder="1" applyAlignment="1">
      <alignment horizontal="center" vertical="center"/>
    </xf>
    <xf numFmtId="1" fontId="1" fillId="0" borderId="38" xfId="0" applyNumberFormat="1" applyFont="1" applyBorder="1" applyAlignment="1">
      <alignment vertical="center"/>
    </xf>
    <xf numFmtId="1" fontId="6" fillId="5" borderId="39" xfId="0" applyNumberFormat="1" applyFont="1" applyFill="1" applyBorder="1" applyAlignment="1">
      <alignment horizontal="center" vertical="center"/>
    </xf>
    <xf numFmtId="164" fontId="6" fillId="4" borderId="20" xfId="0" applyNumberFormat="1" applyFont="1" applyFill="1" applyBorder="1" applyAlignment="1">
      <alignment vertical="center"/>
    </xf>
    <xf numFmtId="0" fontId="6" fillId="0" borderId="0" xfId="0" applyFont="1"/>
    <xf numFmtId="1" fontId="6" fillId="4" borderId="10" xfId="0" applyNumberFormat="1" applyFont="1" applyFill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9" fillId="6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164" fontId="1" fillId="6" borderId="10" xfId="0" applyNumberFormat="1" applyFont="1" applyFill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44" fontId="6" fillId="5" borderId="10" xfId="0" applyNumberFormat="1" applyFont="1" applyFill="1" applyBorder="1" applyAlignment="1">
      <alignment horizontal="center" vertical="center"/>
    </xf>
    <xf numFmtId="164" fontId="6" fillId="4" borderId="10" xfId="0" applyNumberFormat="1" applyFont="1" applyFill="1" applyBorder="1" applyAlignment="1">
      <alignment vertical="center"/>
    </xf>
    <xf numFmtId="0" fontId="6" fillId="7" borderId="10" xfId="0" applyFont="1" applyFill="1" applyBorder="1" applyAlignment="1">
      <alignment vertical="center"/>
    </xf>
    <xf numFmtId="10" fontId="6" fillId="7" borderId="10" xfId="0" applyNumberFormat="1" applyFont="1" applyFill="1" applyBorder="1" applyAlignment="1">
      <alignment vertical="center"/>
    </xf>
    <xf numFmtId="0" fontId="6" fillId="4" borderId="45" xfId="0" applyFont="1" applyFill="1" applyBorder="1" applyAlignment="1">
      <alignment horizontal="center" vertical="center"/>
    </xf>
    <xf numFmtId="164" fontId="6" fillId="4" borderId="46" xfId="0" applyNumberFormat="1" applyFont="1" applyFill="1" applyBorder="1" applyAlignment="1">
      <alignment vertical="center"/>
    </xf>
    <xf numFmtId="0" fontId="6" fillId="4" borderId="45" xfId="0" applyFont="1" applyFill="1" applyBorder="1" applyAlignment="1">
      <alignment vertical="center"/>
    </xf>
    <xf numFmtId="2" fontId="1" fillId="0" borderId="32" xfId="0" applyNumberFormat="1" applyFont="1" applyBorder="1" applyAlignment="1">
      <alignment vertical="center"/>
    </xf>
    <xf numFmtId="2" fontId="6" fillId="5" borderId="33" xfId="0" applyNumberFormat="1" applyFont="1" applyFill="1" applyBorder="1" applyAlignment="1">
      <alignment horizontal="center" vertical="center"/>
    </xf>
    <xf numFmtId="0" fontId="6" fillId="4" borderId="46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0" fillId="0" borderId="0" xfId="0" applyFont="1" applyAlignment="1"/>
    <xf numFmtId="7" fontId="6" fillId="5" borderId="34" xfId="0" applyNumberFormat="1" applyFont="1" applyFill="1" applyBorder="1" applyAlignment="1">
      <alignment horizontal="center" vertical="center"/>
    </xf>
    <xf numFmtId="0" fontId="3" fillId="0" borderId="29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0" borderId="0" xfId="0" applyFont="1" applyAlignment="1">
      <alignment horizontal="center" vertical="center"/>
    </xf>
    <xf numFmtId="0" fontId="0" fillId="0" borderId="0" xfId="0" applyFont="1" applyAlignment="1"/>
    <xf numFmtId="0" fontId="5" fillId="3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1" fillId="0" borderId="7" xfId="0" applyFont="1" applyBorder="1" applyAlignment="1">
      <alignment horizontal="left" vertical="center" wrapText="1"/>
    </xf>
    <xf numFmtId="0" fontId="3" fillId="0" borderId="8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5" fillId="3" borderId="14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0" fontId="8" fillId="4" borderId="4" xfId="0" applyFont="1" applyFill="1" applyBorder="1" applyAlignment="1">
      <alignment horizontal="right" vertical="center"/>
    </xf>
    <xf numFmtId="7" fontId="1" fillId="5" borderId="24" xfId="0" applyNumberFormat="1" applyFont="1" applyFill="1" applyBorder="1" applyAlignment="1">
      <alignment horizontal="right" vertical="center"/>
    </xf>
    <xf numFmtId="0" fontId="3" fillId="0" borderId="25" xfId="0" applyFont="1" applyBorder="1"/>
    <xf numFmtId="0" fontId="8" fillId="5" borderId="30" xfId="0" applyFont="1" applyFill="1" applyBorder="1" applyAlignment="1">
      <alignment horizontal="right" vertical="center"/>
    </xf>
    <xf numFmtId="0" fontId="3" fillId="0" borderId="31" xfId="0" applyFont="1" applyBorder="1"/>
    <xf numFmtId="0" fontId="5" fillId="3" borderId="44" xfId="0" applyFont="1" applyFill="1" applyBorder="1" applyAlignment="1">
      <alignment horizontal="center" vertical="center"/>
    </xf>
    <xf numFmtId="7" fontId="6" fillId="5" borderId="23" xfId="0" applyNumberFormat="1" applyFont="1" applyFill="1" applyBorder="1" applyAlignment="1">
      <alignment horizontal="center" vertical="center"/>
    </xf>
    <xf numFmtId="0" fontId="3" fillId="0" borderId="37" xfId="0" applyFont="1" applyBorder="1"/>
    <xf numFmtId="0" fontId="6" fillId="4" borderId="40" xfId="0" applyFont="1" applyFill="1" applyBorder="1" applyAlignment="1">
      <alignment horizontal="center" vertical="center"/>
    </xf>
    <xf numFmtId="0" fontId="3" fillId="0" borderId="41" xfId="0" applyFont="1" applyBorder="1"/>
    <xf numFmtId="0" fontId="3" fillId="0" borderId="42" xfId="0" applyFont="1" applyBorder="1"/>
    <xf numFmtId="0" fontId="3" fillId="0" borderId="43" xfId="0" applyFont="1" applyBorder="1"/>
    <xf numFmtId="0" fontId="8" fillId="5" borderId="14" xfId="0" applyFont="1" applyFill="1" applyBorder="1" applyAlignment="1">
      <alignment horizontal="right" vertical="center"/>
    </xf>
    <xf numFmtId="7" fontId="1" fillId="4" borderId="24" xfId="0" applyNumberFormat="1" applyFont="1" applyFill="1" applyBorder="1" applyAlignment="1">
      <alignment horizontal="right" vertical="center"/>
    </xf>
    <xf numFmtId="0" fontId="10" fillId="0" borderId="7" xfId="0" applyFont="1" applyBorder="1" applyAlignment="1">
      <alignment horizontal="left" vertical="center" wrapText="1"/>
    </xf>
    <xf numFmtId="0" fontId="1" fillId="0" borderId="47" xfId="0" applyFont="1" applyBorder="1" applyAlignment="1">
      <alignment horizontal="left" vertical="center"/>
    </xf>
    <xf numFmtId="0" fontId="3" fillId="0" borderId="28" xfId="0" applyFont="1" applyBorder="1"/>
    <xf numFmtId="7" fontId="6" fillId="5" borderId="17" xfId="0" applyNumberFormat="1" applyFont="1" applyFill="1" applyBorder="1" applyAlignment="1">
      <alignment horizontal="center" vertical="center"/>
    </xf>
    <xf numFmtId="0" fontId="3" fillId="0" borderId="48" xfId="0" applyFont="1" applyBorder="1"/>
    <xf numFmtId="0" fontId="6" fillId="4" borderId="49" xfId="0" applyFont="1" applyFill="1" applyBorder="1" applyAlignment="1">
      <alignment horizontal="center" vertical="center"/>
    </xf>
    <xf numFmtId="0" fontId="3" fillId="0" borderId="50" xfId="0" applyFont="1" applyBorder="1"/>
    <xf numFmtId="0" fontId="3" fillId="0" borderId="51" xfId="0" applyFont="1" applyBorder="1"/>
    <xf numFmtId="0" fontId="6" fillId="4" borderId="14" xfId="0" applyFont="1" applyFill="1" applyBorder="1" applyAlignment="1">
      <alignment horizontal="center" vertical="center"/>
    </xf>
    <xf numFmtId="9" fontId="1" fillId="0" borderId="0" xfId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tabSelected="1" zoomScale="70" zoomScaleNormal="70" workbookViewId="0">
      <selection activeCell="J28" sqref="J28"/>
    </sheetView>
  </sheetViews>
  <sheetFormatPr baseColWidth="10" defaultColWidth="11.19921875" defaultRowHeight="15" customHeight="1" x14ac:dyDescent="0.3"/>
  <cols>
    <col min="1" max="1" width="51.09765625" customWidth="1"/>
    <col min="2" max="2" width="16.09765625" bestFit="1" customWidth="1"/>
    <col min="3" max="3" width="10.796875" customWidth="1"/>
    <col min="4" max="4" width="11.69921875" customWidth="1"/>
    <col min="5" max="16" width="21.59765625" customWidth="1"/>
    <col min="17" max="17" width="14.796875" customWidth="1"/>
    <col min="18" max="26" width="10.796875" customWidth="1"/>
  </cols>
  <sheetData>
    <row r="1" spans="1:26" ht="15.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2.25" customHeight="1" x14ac:dyDescent="0.3">
      <c r="A3" s="44" t="s">
        <v>68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47" t="s">
        <v>67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1"/>
      <c r="S4" s="1"/>
      <c r="T4" s="1"/>
      <c r="U4" s="1"/>
      <c r="V4" s="1"/>
      <c r="W4" s="1"/>
      <c r="X4" s="1"/>
      <c r="Y4" s="1"/>
      <c r="Z4" s="1"/>
    </row>
    <row r="5" spans="1:26" ht="27" customHeight="1" x14ac:dyDescent="0.3">
      <c r="A5" s="49" t="s">
        <v>0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3">
      <c r="A6" s="52" t="s">
        <v>1</v>
      </c>
      <c r="B6" s="53"/>
      <c r="C6" s="53"/>
      <c r="D6" s="54"/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 t="s">
        <v>10</v>
      </c>
      <c r="N6" s="2" t="s">
        <v>11</v>
      </c>
      <c r="O6" s="2" t="s">
        <v>12</v>
      </c>
      <c r="P6" s="2" t="s">
        <v>13</v>
      </c>
      <c r="Q6" s="2"/>
      <c r="R6" s="1"/>
      <c r="S6" s="1"/>
      <c r="T6" s="1"/>
      <c r="U6" s="1"/>
      <c r="V6" s="1"/>
      <c r="W6" s="1"/>
      <c r="X6" s="1"/>
      <c r="Y6" s="1"/>
      <c r="Z6" s="1"/>
    </row>
    <row r="7" spans="1:26" ht="57.75" customHeight="1" x14ac:dyDescent="0.3">
      <c r="A7" s="55"/>
      <c r="B7" s="56"/>
      <c r="C7" s="56"/>
      <c r="D7" s="57"/>
      <c r="E7" s="3"/>
      <c r="F7" s="3"/>
      <c r="G7" s="3"/>
      <c r="H7" s="3" t="s">
        <v>56</v>
      </c>
      <c r="I7" s="3" t="s">
        <v>57</v>
      </c>
      <c r="J7" s="3" t="s">
        <v>58</v>
      </c>
      <c r="K7" s="3" t="s">
        <v>53</v>
      </c>
      <c r="L7" s="3" t="s">
        <v>59</v>
      </c>
      <c r="M7" s="3" t="s">
        <v>60</v>
      </c>
      <c r="N7" s="3" t="s">
        <v>61</v>
      </c>
      <c r="O7" s="3" t="s">
        <v>62</v>
      </c>
      <c r="P7" s="3" t="s">
        <v>63</v>
      </c>
      <c r="Q7" s="4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 x14ac:dyDescent="0.3">
      <c r="A8" s="58" t="s">
        <v>14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60"/>
      <c r="R8" s="1"/>
      <c r="S8" s="1"/>
      <c r="T8" s="1"/>
      <c r="U8" s="1"/>
      <c r="V8" s="1"/>
      <c r="W8" s="1"/>
      <c r="X8" s="1"/>
      <c r="Y8" s="1"/>
      <c r="Z8" s="1"/>
    </row>
    <row r="9" spans="1:26" ht="32.25" customHeight="1" x14ac:dyDescent="0.3">
      <c r="A9" s="5" t="s">
        <v>15</v>
      </c>
      <c r="B9" s="6" t="s">
        <v>16</v>
      </c>
      <c r="C9" s="7"/>
      <c r="D9" s="8"/>
      <c r="E9" s="9" t="s">
        <v>2</v>
      </c>
      <c r="F9" s="9" t="s">
        <v>3</v>
      </c>
      <c r="G9" s="9" t="s">
        <v>4</v>
      </c>
      <c r="H9" s="9" t="s">
        <v>5</v>
      </c>
      <c r="I9" s="9" t="s">
        <v>6</v>
      </c>
      <c r="J9" s="9" t="s">
        <v>7</v>
      </c>
      <c r="K9" s="9" t="s">
        <v>8</v>
      </c>
      <c r="L9" s="9" t="s">
        <v>9</v>
      </c>
      <c r="M9" s="9" t="s">
        <v>10</v>
      </c>
      <c r="N9" s="9" t="s">
        <v>11</v>
      </c>
      <c r="O9" s="9" t="s">
        <v>12</v>
      </c>
      <c r="P9" s="9" t="s">
        <v>13</v>
      </c>
      <c r="Q9" s="10" t="s">
        <v>17</v>
      </c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1" t="s">
        <v>72</v>
      </c>
      <c r="B10" s="67">
        <v>5</v>
      </c>
      <c r="C10" s="62" t="s">
        <v>18</v>
      </c>
      <c r="D10" s="63"/>
      <c r="E10" s="12"/>
      <c r="F10" s="12"/>
      <c r="G10" s="12"/>
      <c r="H10" s="12">
        <f>H11*B10</f>
        <v>750</v>
      </c>
      <c r="I10" s="12">
        <f>I11*B10</f>
        <v>775</v>
      </c>
      <c r="J10" s="12">
        <f>J11*B10</f>
        <v>800</v>
      </c>
      <c r="K10" s="12">
        <f>K11*B10</f>
        <v>825</v>
      </c>
      <c r="L10" s="12">
        <f>L11*B10</f>
        <v>850</v>
      </c>
      <c r="M10" s="12">
        <f>M11*B10</f>
        <v>875</v>
      </c>
      <c r="N10" s="12">
        <f>N11*B10</f>
        <v>900</v>
      </c>
      <c r="O10" s="12">
        <f>O11*B10</f>
        <v>925</v>
      </c>
      <c r="P10" s="12">
        <f>P11*B10</f>
        <v>950</v>
      </c>
      <c r="Q10" s="13">
        <f>SUM(B10:P10)</f>
        <v>7655</v>
      </c>
      <c r="R10" s="84"/>
      <c r="S10" s="1"/>
      <c r="T10" s="1"/>
      <c r="U10" s="1"/>
      <c r="V10" s="1"/>
      <c r="W10" s="1"/>
      <c r="X10" s="1"/>
      <c r="Y10" s="1"/>
      <c r="Z10" s="1"/>
    </row>
    <row r="11" spans="1:26" ht="19.5" customHeight="1" thickBot="1" x14ac:dyDescent="0.35">
      <c r="A11" s="14"/>
      <c r="B11" s="43"/>
      <c r="C11" s="64" t="s">
        <v>19</v>
      </c>
      <c r="D11" s="65"/>
      <c r="E11" s="15"/>
      <c r="F11" s="15"/>
      <c r="G11" s="15"/>
      <c r="H11" s="15">
        <v>150</v>
      </c>
      <c r="I11" s="15">
        <v>155</v>
      </c>
      <c r="J11" s="15">
        <v>160</v>
      </c>
      <c r="K11" s="15">
        <v>165</v>
      </c>
      <c r="L11" s="15">
        <v>170</v>
      </c>
      <c r="M11" s="15">
        <v>175</v>
      </c>
      <c r="N11" s="15">
        <v>180</v>
      </c>
      <c r="O11" s="15">
        <v>185</v>
      </c>
      <c r="P11" s="15">
        <v>190</v>
      </c>
      <c r="Q11" s="16">
        <f>SUM(E11:P11)</f>
        <v>1530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1" t="s">
        <v>73</v>
      </c>
      <c r="B12" s="42">
        <v>10</v>
      </c>
      <c r="C12" s="62" t="s">
        <v>18</v>
      </c>
      <c r="D12" s="63"/>
      <c r="E12" s="12"/>
      <c r="F12" s="12"/>
      <c r="G12" s="12"/>
      <c r="H12" s="12">
        <f>H13*B12</f>
        <v>1000</v>
      </c>
      <c r="I12" s="12">
        <f>I13*B12</f>
        <v>1050</v>
      </c>
      <c r="J12" s="12">
        <f>J13*B12</f>
        <v>1100</v>
      </c>
      <c r="K12" s="12">
        <f>K13*B12</f>
        <v>1150</v>
      </c>
      <c r="L12" s="12">
        <f>L13*B12</f>
        <v>1200</v>
      </c>
      <c r="M12" s="12">
        <f>M13*B12</f>
        <v>1250</v>
      </c>
      <c r="N12" s="12">
        <f>N13*B12</f>
        <v>1300</v>
      </c>
      <c r="O12" s="12">
        <f>O13*B12</f>
        <v>1350</v>
      </c>
      <c r="P12" s="12">
        <f>P13*B12</f>
        <v>1400</v>
      </c>
      <c r="Q12" s="13">
        <f>SUM(B12:P12)</f>
        <v>10810</v>
      </c>
      <c r="R12" s="84"/>
      <c r="S12" s="1"/>
      <c r="T12" s="1"/>
      <c r="U12" s="1"/>
      <c r="V12" s="1"/>
      <c r="W12" s="1"/>
      <c r="X12" s="1"/>
      <c r="Y12" s="1"/>
      <c r="Z12" s="1"/>
    </row>
    <row r="13" spans="1:26" ht="19.5" customHeight="1" thickBot="1" x14ac:dyDescent="0.35">
      <c r="A13" s="14"/>
      <c r="B13" s="43"/>
      <c r="C13" s="64" t="s">
        <v>19</v>
      </c>
      <c r="D13" s="65"/>
      <c r="E13" s="15"/>
      <c r="F13" s="15"/>
      <c r="G13" s="15"/>
      <c r="H13" s="15">
        <v>100</v>
      </c>
      <c r="I13" s="15">
        <v>105</v>
      </c>
      <c r="J13" s="15">
        <v>110</v>
      </c>
      <c r="K13" s="15">
        <v>115</v>
      </c>
      <c r="L13" s="15">
        <v>120</v>
      </c>
      <c r="M13" s="15">
        <v>125</v>
      </c>
      <c r="N13" s="15">
        <v>130</v>
      </c>
      <c r="O13" s="15">
        <v>135</v>
      </c>
      <c r="P13" s="15">
        <v>140</v>
      </c>
      <c r="Q13" s="16">
        <f>SUM(E13:P13)</f>
        <v>1080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1" t="s">
        <v>74</v>
      </c>
      <c r="B14" s="42">
        <v>15</v>
      </c>
      <c r="C14" s="62" t="s">
        <v>18</v>
      </c>
      <c r="D14" s="63"/>
      <c r="E14" s="12"/>
      <c r="F14" s="12"/>
      <c r="G14" s="12"/>
      <c r="H14" s="12">
        <f>H15*B14</f>
        <v>750</v>
      </c>
      <c r="I14" s="12">
        <f>I15*B14</f>
        <v>825</v>
      </c>
      <c r="J14" s="12">
        <f>J15*B14</f>
        <v>900</v>
      </c>
      <c r="K14" s="12">
        <f>K15*B14</f>
        <v>975</v>
      </c>
      <c r="L14" s="12">
        <f>L15*B14</f>
        <v>1050</v>
      </c>
      <c r="M14" s="12">
        <f>M15*B14</f>
        <v>1125</v>
      </c>
      <c r="N14" s="12">
        <f>N15*B14</f>
        <v>1200</v>
      </c>
      <c r="O14" s="12">
        <f>O15*B14</f>
        <v>1275</v>
      </c>
      <c r="P14" s="12">
        <f>P15*B14</f>
        <v>1350</v>
      </c>
      <c r="Q14" s="13">
        <f>SUM(B14:P14)</f>
        <v>9465</v>
      </c>
      <c r="R14" s="84"/>
      <c r="S14" s="1"/>
      <c r="T14" s="1"/>
      <c r="U14" s="1"/>
      <c r="V14" s="1"/>
      <c r="W14" s="1"/>
      <c r="X14" s="1"/>
      <c r="Y14" s="1"/>
      <c r="Z14" s="1"/>
    </row>
    <row r="15" spans="1:26" ht="19.5" customHeight="1" thickBot="1" x14ac:dyDescent="0.35">
      <c r="A15" s="14"/>
      <c r="B15" s="43"/>
      <c r="C15" s="64" t="s">
        <v>19</v>
      </c>
      <c r="D15" s="65"/>
      <c r="E15" s="15"/>
      <c r="F15" s="15"/>
      <c r="G15" s="15"/>
      <c r="H15" s="15">
        <v>50</v>
      </c>
      <c r="I15" s="15">
        <v>55</v>
      </c>
      <c r="J15" s="15">
        <v>60</v>
      </c>
      <c r="K15" s="15">
        <v>65</v>
      </c>
      <c r="L15" s="15">
        <v>70</v>
      </c>
      <c r="M15" s="15">
        <v>75</v>
      </c>
      <c r="N15" s="15">
        <v>80</v>
      </c>
      <c r="O15" s="15">
        <v>85</v>
      </c>
      <c r="P15" s="15">
        <v>90</v>
      </c>
      <c r="Q15" s="16">
        <f>SUM(E15:P15)</f>
        <v>630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1"/>
      <c r="B16" s="42"/>
      <c r="C16" s="62" t="s">
        <v>18</v>
      </c>
      <c r="D16" s="63"/>
      <c r="E16" s="12">
        <v>0</v>
      </c>
      <c r="F16" s="12">
        <v>0</v>
      </c>
      <c r="G16" s="12">
        <f>G17*B16</f>
        <v>0</v>
      </c>
      <c r="H16" s="12">
        <f>H17*B16</f>
        <v>0</v>
      </c>
      <c r="I16" s="12">
        <f>I17*B16</f>
        <v>0</v>
      </c>
      <c r="J16" s="12">
        <f>J17*B16</f>
        <v>0</v>
      </c>
      <c r="K16" s="12">
        <f>K17*B16</f>
        <v>0</v>
      </c>
      <c r="L16" s="12">
        <f>L17*B16</f>
        <v>0</v>
      </c>
      <c r="M16" s="12">
        <f>M17*B16</f>
        <v>0</v>
      </c>
      <c r="N16" s="12">
        <f>N17*B16</f>
        <v>0</v>
      </c>
      <c r="O16" s="12">
        <f>O17*B16</f>
        <v>0</v>
      </c>
      <c r="P16" s="12">
        <f>P17*B16</f>
        <v>0</v>
      </c>
      <c r="Q16" s="13">
        <f>SUM(B16:P16)</f>
        <v>0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4"/>
      <c r="B17" s="43"/>
      <c r="C17" s="64" t="s">
        <v>19</v>
      </c>
      <c r="D17" s="6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6">
        <f>SUM(E17:P17)</f>
        <v>0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1"/>
      <c r="B18" s="42"/>
      <c r="C18" s="62" t="s">
        <v>18</v>
      </c>
      <c r="D18" s="63"/>
      <c r="E18" s="12">
        <v>0</v>
      </c>
      <c r="F18" s="12">
        <v>0</v>
      </c>
      <c r="G18" s="12">
        <f>G19*B18</f>
        <v>0</v>
      </c>
      <c r="H18" s="12">
        <f>H19*B18</f>
        <v>0</v>
      </c>
      <c r="I18" s="12">
        <f>I19*B18</f>
        <v>0</v>
      </c>
      <c r="J18" s="12">
        <f>J19*B18</f>
        <v>0</v>
      </c>
      <c r="K18" s="12">
        <f>K19*B18</f>
        <v>0</v>
      </c>
      <c r="L18" s="12">
        <f>L19*B18</f>
        <v>0</v>
      </c>
      <c r="M18" s="12">
        <f>M19*B18</f>
        <v>0</v>
      </c>
      <c r="N18" s="12">
        <f>N19*B18</f>
        <v>0</v>
      </c>
      <c r="O18" s="12">
        <f>O19*B18</f>
        <v>0</v>
      </c>
      <c r="P18" s="12">
        <f>P19*B18</f>
        <v>0</v>
      </c>
      <c r="Q18" s="13">
        <f>SUM(B18:P18)</f>
        <v>0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thickBot="1" x14ac:dyDescent="0.35">
      <c r="A19" s="14"/>
      <c r="B19" s="43"/>
      <c r="C19" s="64" t="s">
        <v>19</v>
      </c>
      <c r="D19" s="6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6">
        <f>SUM(E19:P19)</f>
        <v>0</v>
      </c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3">
      <c r="A20" s="11"/>
      <c r="B20" s="67"/>
      <c r="C20" s="62" t="s">
        <v>18</v>
      </c>
      <c r="D20" s="63"/>
      <c r="E20" s="17">
        <v>0</v>
      </c>
      <c r="F20" s="17">
        <v>0</v>
      </c>
      <c r="G20" s="17">
        <f>G21*B20</f>
        <v>0</v>
      </c>
      <c r="H20" s="17">
        <f>H21*B20</f>
        <v>0</v>
      </c>
      <c r="I20" s="17">
        <f>I21*B20</f>
        <v>0</v>
      </c>
      <c r="J20" s="17">
        <f>J21*B20</f>
        <v>0</v>
      </c>
      <c r="K20" s="17">
        <f>K21*B20</f>
        <v>0</v>
      </c>
      <c r="L20" s="17">
        <f>L21*B20</f>
        <v>0</v>
      </c>
      <c r="M20" s="17">
        <f>M21*B20</f>
        <v>0</v>
      </c>
      <c r="N20" s="17">
        <f>N21*B20</f>
        <v>0</v>
      </c>
      <c r="O20" s="17">
        <f>O21*B20</f>
        <v>0</v>
      </c>
      <c r="P20" s="17">
        <f>P21*B20</f>
        <v>0</v>
      </c>
      <c r="Q20" s="18">
        <f>SUM(B20:P20)</f>
        <v>0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thickBot="1" x14ac:dyDescent="0.35">
      <c r="A21" s="1"/>
      <c r="B21" s="68"/>
      <c r="C21" s="73" t="s">
        <v>19</v>
      </c>
      <c r="D21" s="60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20">
        <f>SUM(E21:P21)</f>
        <v>0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27" customHeight="1" x14ac:dyDescent="0.3">
      <c r="A22" s="69" t="s">
        <v>20</v>
      </c>
      <c r="B22" s="70"/>
      <c r="C22" s="74" t="s">
        <v>18</v>
      </c>
      <c r="D22" s="63"/>
      <c r="E22" s="21">
        <f t="shared" ref="E22:Q22" si="0">E10+E12+E14+E16+E18+E20</f>
        <v>0</v>
      </c>
      <c r="F22" s="21">
        <f t="shared" si="0"/>
        <v>0</v>
      </c>
      <c r="G22" s="21">
        <f t="shared" si="0"/>
        <v>0</v>
      </c>
      <c r="H22" s="21">
        <f t="shared" si="0"/>
        <v>2500</v>
      </c>
      <c r="I22" s="21">
        <f t="shared" si="0"/>
        <v>2650</v>
      </c>
      <c r="J22" s="21">
        <f t="shared" si="0"/>
        <v>2800</v>
      </c>
      <c r="K22" s="21">
        <f t="shared" si="0"/>
        <v>2950</v>
      </c>
      <c r="L22" s="21">
        <f t="shared" si="0"/>
        <v>3100</v>
      </c>
      <c r="M22" s="21">
        <f t="shared" si="0"/>
        <v>3250</v>
      </c>
      <c r="N22" s="21">
        <f t="shared" si="0"/>
        <v>3400</v>
      </c>
      <c r="O22" s="21">
        <f t="shared" si="0"/>
        <v>3550</v>
      </c>
      <c r="P22" s="21">
        <f t="shared" si="0"/>
        <v>3700</v>
      </c>
      <c r="Q22" s="21">
        <f t="shared" si="0"/>
        <v>27930</v>
      </c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27" customHeight="1" x14ac:dyDescent="0.3">
      <c r="A23" s="71"/>
      <c r="B23" s="72"/>
      <c r="C23" s="61" t="s">
        <v>19</v>
      </c>
      <c r="D23" s="51"/>
      <c r="E23" s="23">
        <f t="shared" ref="E23:Q23" si="1">E11+E13+E15+E17+E19+E21</f>
        <v>0</v>
      </c>
      <c r="F23" s="23">
        <f t="shared" si="1"/>
        <v>0</v>
      </c>
      <c r="G23" s="23">
        <f t="shared" si="1"/>
        <v>0</v>
      </c>
      <c r="H23" s="23">
        <f t="shared" si="1"/>
        <v>300</v>
      </c>
      <c r="I23" s="23">
        <f t="shared" si="1"/>
        <v>315</v>
      </c>
      <c r="J23" s="23">
        <f t="shared" si="1"/>
        <v>330</v>
      </c>
      <c r="K23" s="23">
        <f t="shared" si="1"/>
        <v>345</v>
      </c>
      <c r="L23" s="23">
        <f t="shared" si="1"/>
        <v>360</v>
      </c>
      <c r="M23" s="23">
        <f t="shared" si="1"/>
        <v>375</v>
      </c>
      <c r="N23" s="23">
        <f t="shared" si="1"/>
        <v>390</v>
      </c>
      <c r="O23" s="23">
        <f t="shared" si="1"/>
        <v>405</v>
      </c>
      <c r="P23" s="23">
        <f t="shared" si="1"/>
        <v>420</v>
      </c>
      <c r="Q23" s="23">
        <f t="shared" si="1"/>
        <v>3240</v>
      </c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36" customHeight="1" x14ac:dyDescent="0.3">
      <c r="A24" s="66" t="s">
        <v>21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6"/>
      <c r="R24" s="1"/>
      <c r="S24" s="1"/>
      <c r="T24" s="1"/>
      <c r="U24" s="1"/>
      <c r="V24" s="1"/>
      <c r="W24" s="1"/>
      <c r="X24" s="1"/>
      <c r="Y24" s="1"/>
      <c r="Z24" s="1"/>
    </row>
    <row r="25" spans="1:26" ht="36" customHeight="1" x14ac:dyDescent="0.3">
      <c r="A25" s="24" t="s">
        <v>22</v>
      </c>
      <c r="B25" s="25" t="s">
        <v>23</v>
      </c>
      <c r="C25" s="25" t="s">
        <v>24</v>
      </c>
      <c r="D25" s="25" t="s">
        <v>25</v>
      </c>
      <c r="E25" s="26" t="s">
        <v>2</v>
      </c>
      <c r="F25" s="26" t="s">
        <v>3</v>
      </c>
      <c r="G25" s="26" t="s">
        <v>4</v>
      </c>
      <c r="H25" s="26" t="s">
        <v>5</v>
      </c>
      <c r="I25" s="26" t="s">
        <v>6</v>
      </c>
      <c r="J25" s="26" t="s">
        <v>7</v>
      </c>
      <c r="K25" s="26" t="s">
        <v>8</v>
      </c>
      <c r="L25" s="26" t="s">
        <v>9</v>
      </c>
      <c r="M25" s="26" t="s">
        <v>10</v>
      </c>
      <c r="N25" s="26" t="s">
        <v>11</v>
      </c>
      <c r="O25" s="26" t="s">
        <v>12</v>
      </c>
      <c r="P25" s="26" t="s">
        <v>13</v>
      </c>
      <c r="Q25" s="26" t="s">
        <v>17</v>
      </c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27" t="s">
        <v>64</v>
      </c>
      <c r="B26" s="28">
        <v>15000</v>
      </c>
      <c r="C26" s="28">
        <v>0</v>
      </c>
      <c r="D26" s="28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30">
        <f t="shared" ref="Q26:Q32" si="2">SUM(B26:P26)</f>
        <v>15000</v>
      </c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27" t="s">
        <v>65</v>
      </c>
      <c r="B27" s="28"/>
      <c r="C27" s="28"/>
      <c r="D27" s="28"/>
      <c r="E27" s="29"/>
      <c r="F27" s="29"/>
      <c r="G27" s="29"/>
      <c r="H27" s="29">
        <v>25</v>
      </c>
      <c r="I27" s="29">
        <v>25</v>
      </c>
      <c r="J27" s="29">
        <v>25</v>
      </c>
      <c r="K27" s="29">
        <v>25</v>
      </c>
      <c r="L27" s="29">
        <v>25</v>
      </c>
      <c r="M27" s="29">
        <v>25</v>
      </c>
      <c r="N27" s="29">
        <v>25</v>
      </c>
      <c r="O27" s="29">
        <v>25</v>
      </c>
      <c r="P27" s="29">
        <v>25</v>
      </c>
      <c r="Q27" s="30">
        <f t="shared" si="2"/>
        <v>225</v>
      </c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27" t="s">
        <v>66</v>
      </c>
      <c r="B28" s="28"/>
      <c r="C28" s="28"/>
      <c r="D28" s="28"/>
      <c r="E28" s="29"/>
      <c r="F28" s="29"/>
      <c r="G28" s="29"/>
      <c r="H28" s="29"/>
      <c r="I28" s="29"/>
      <c r="J28" s="29">
        <v>200</v>
      </c>
      <c r="K28" s="29"/>
      <c r="L28" s="29"/>
      <c r="M28" s="29">
        <v>200</v>
      </c>
      <c r="N28" s="29"/>
      <c r="O28" s="29"/>
      <c r="P28" s="29">
        <v>200</v>
      </c>
      <c r="Q28" s="30">
        <f t="shared" si="2"/>
        <v>600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ht="22.5" customHeight="1" x14ac:dyDescent="0.3">
      <c r="A29" s="27"/>
      <c r="B29" s="28"/>
      <c r="C29" s="28"/>
      <c r="D29" s="28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0">
        <f t="shared" si="2"/>
        <v>0</v>
      </c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27"/>
      <c r="B30" s="28"/>
      <c r="C30" s="28"/>
      <c r="D30" s="28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0">
        <f t="shared" si="2"/>
        <v>0</v>
      </c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27"/>
      <c r="B31" s="28"/>
      <c r="C31" s="28"/>
      <c r="D31" s="28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30">
        <f t="shared" si="2"/>
        <v>0</v>
      </c>
      <c r="R31" s="1"/>
      <c r="S31" s="1"/>
      <c r="T31" s="1"/>
      <c r="U31" s="1"/>
      <c r="V31" s="1"/>
      <c r="W31" s="1"/>
      <c r="X31" s="1"/>
      <c r="Y31" s="1"/>
      <c r="Z31" s="1"/>
    </row>
    <row r="32" spans="1:26" ht="27.75" customHeight="1" x14ac:dyDescent="0.3">
      <c r="A32" s="6" t="s">
        <v>26</v>
      </c>
      <c r="B32" s="31">
        <f t="shared" ref="B32:P32" si="3">SUM(B26:B31)</f>
        <v>15000</v>
      </c>
      <c r="C32" s="31">
        <f t="shared" si="3"/>
        <v>0</v>
      </c>
      <c r="D32" s="31">
        <f t="shared" si="3"/>
        <v>0</v>
      </c>
      <c r="E32" s="31">
        <f t="shared" si="3"/>
        <v>0</v>
      </c>
      <c r="F32" s="31">
        <f t="shared" si="3"/>
        <v>0</v>
      </c>
      <c r="G32" s="31">
        <f t="shared" si="3"/>
        <v>0</v>
      </c>
      <c r="H32" s="31">
        <f t="shared" si="3"/>
        <v>25</v>
      </c>
      <c r="I32" s="31">
        <f t="shared" si="3"/>
        <v>25</v>
      </c>
      <c r="J32" s="31">
        <f t="shared" si="3"/>
        <v>225</v>
      </c>
      <c r="K32" s="31">
        <f t="shared" si="3"/>
        <v>25</v>
      </c>
      <c r="L32" s="31">
        <f t="shared" si="3"/>
        <v>25</v>
      </c>
      <c r="M32" s="31">
        <f t="shared" si="3"/>
        <v>225</v>
      </c>
      <c r="N32" s="31">
        <f t="shared" si="3"/>
        <v>25</v>
      </c>
      <c r="O32" s="31">
        <f t="shared" si="3"/>
        <v>25</v>
      </c>
      <c r="P32" s="31">
        <f t="shared" si="3"/>
        <v>225</v>
      </c>
      <c r="Q32" s="31">
        <f t="shared" si="2"/>
        <v>15825</v>
      </c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25.5" customHeight="1" x14ac:dyDescent="0.3">
      <c r="A33" s="32" t="s">
        <v>27</v>
      </c>
      <c r="B33" s="33"/>
      <c r="C33" s="33"/>
      <c r="D33" s="33"/>
      <c r="E33" s="33" t="e">
        <f t="shared" ref="E33:Q33" si="4">E32/E22</f>
        <v>#DIV/0!</v>
      </c>
      <c r="F33" s="33" t="e">
        <f t="shared" si="4"/>
        <v>#DIV/0!</v>
      </c>
      <c r="G33" s="33" t="e">
        <f t="shared" si="4"/>
        <v>#DIV/0!</v>
      </c>
      <c r="H33" s="33">
        <f t="shared" si="4"/>
        <v>0.01</v>
      </c>
      <c r="I33" s="33">
        <f t="shared" si="4"/>
        <v>9.433962264150943E-3</v>
      </c>
      <c r="J33" s="33">
        <f t="shared" si="4"/>
        <v>8.0357142857142863E-2</v>
      </c>
      <c r="K33" s="33">
        <f t="shared" si="4"/>
        <v>8.4745762711864406E-3</v>
      </c>
      <c r="L33" s="33">
        <f t="shared" si="4"/>
        <v>8.0645161290322578E-3</v>
      </c>
      <c r="M33" s="33">
        <f t="shared" si="4"/>
        <v>6.9230769230769235E-2</v>
      </c>
      <c r="N33" s="33">
        <f t="shared" si="4"/>
        <v>7.3529411764705881E-3</v>
      </c>
      <c r="O33" s="33">
        <f t="shared" si="4"/>
        <v>7.0422535211267607E-3</v>
      </c>
      <c r="P33" s="33">
        <f t="shared" si="4"/>
        <v>6.0810810810810814E-2</v>
      </c>
      <c r="Q33" s="33">
        <f t="shared" si="4"/>
        <v>0.56659505907626206</v>
      </c>
      <c r="R33" s="1"/>
      <c r="S33" s="1"/>
      <c r="T33" s="1"/>
      <c r="U33" s="1"/>
      <c r="V33" s="1"/>
      <c r="W33" s="1"/>
      <c r="X33" s="1"/>
      <c r="Y33" s="1"/>
      <c r="Z33" s="1"/>
    </row>
    <row r="34" spans="1:26" ht="15.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6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6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6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6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6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7">
    <mergeCell ref="A24:Q24"/>
    <mergeCell ref="B10:B11"/>
    <mergeCell ref="B12:B13"/>
    <mergeCell ref="C12:D12"/>
    <mergeCell ref="C13:D13"/>
    <mergeCell ref="B14:B15"/>
    <mergeCell ref="C14:D14"/>
    <mergeCell ref="C17:D17"/>
    <mergeCell ref="B18:B19"/>
    <mergeCell ref="B20:B21"/>
    <mergeCell ref="A22:B23"/>
    <mergeCell ref="C18:D18"/>
    <mergeCell ref="C19:D19"/>
    <mergeCell ref="C20:D20"/>
    <mergeCell ref="C21:D21"/>
    <mergeCell ref="C22:D22"/>
    <mergeCell ref="C23:D23"/>
    <mergeCell ref="C10:D10"/>
    <mergeCell ref="C11:D11"/>
    <mergeCell ref="C15:D15"/>
    <mergeCell ref="C16:D16"/>
    <mergeCell ref="B16:B17"/>
    <mergeCell ref="A3:Q3"/>
    <mergeCell ref="A4:Q4"/>
    <mergeCell ref="A5:Q5"/>
    <mergeCell ref="A6:D7"/>
    <mergeCell ref="A8:Q8"/>
  </mergeCells>
  <pageMargins left="0.7" right="0.7" top="0.75" bottom="0.75" header="0" footer="0"/>
  <pageSetup paperSize="5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zoomScale="70" zoomScaleNormal="70" workbookViewId="0">
      <selection activeCell="O15" sqref="O15"/>
    </sheetView>
  </sheetViews>
  <sheetFormatPr baseColWidth="10" defaultColWidth="11.19921875" defaultRowHeight="15" customHeight="1" x14ac:dyDescent="0.3"/>
  <cols>
    <col min="1" max="1" width="51.09765625" style="41" customWidth="1"/>
    <col min="2" max="2" width="16.09765625" style="41" bestFit="1" customWidth="1"/>
    <col min="3" max="3" width="10.796875" style="41" customWidth="1"/>
    <col min="4" max="4" width="11.69921875" style="41" customWidth="1"/>
    <col min="5" max="16" width="21.59765625" style="41" customWidth="1"/>
    <col min="17" max="17" width="14.796875" style="41" customWidth="1"/>
    <col min="18" max="26" width="10.796875" style="41" customWidth="1"/>
    <col min="27" max="16384" width="11.19921875" style="41"/>
  </cols>
  <sheetData>
    <row r="1" spans="1:26" ht="15.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2.25" customHeight="1" x14ac:dyDescent="0.3">
      <c r="A3" s="44" t="s">
        <v>68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47" t="s">
        <v>69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1"/>
      <c r="S4" s="1"/>
      <c r="T4" s="1"/>
      <c r="U4" s="1"/>
      <c r="V4" s="1"/>
      <c r="W4" s="1"/>
      <c r="X4" s="1"/>
      <c r="Y4" s="1"/>
      <c r="Z4" s="1"/>
    </row>
    <row r="5" spans="1:26" ht="27" customHeight="1" x14ac:dyDescent="0.3">
      <c r="A5" s="49" t="s">
        <v>0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3">
      <c r="A6" s="52" t="s">
        <v>1</v>
      </c>
      <c r="B6" s="53"/>
      <c r="C6" s="53"/>
      <c r="D6" s="54"/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 t="s">
        <v>10</v>
      </c>
      <c r="N6" s="2" t="s">
        <v>11</v>
      </c>
      <c r="O6" s="2" t="s">
        <v>12</v>
      </c>
      <c r="P6" s="2" t="s">
        <v>13</v>
      </c>
      <c r="Q6" s="2"/>
      <c r="R6" s="1"/>
      <c r="S6" s="1"/>
      <c r="T6" s="1"/>
      <c r="U6" s="1"/>
      <c r="V6" s="1"/>
      <c r="W6" s="1"/>
      <c r="X6" s="1"/>
      <c r="Y6" s="1"/>
      <c r="Z6" s="1"/>
    </row>
    <row r="7" spans="1:26" ht="69" customHeight="1" x14ac:dyDescent="0.3">
      <c r="A7" s="55"/>
      <c r="B7" s="56"/>
      <c r="C7" s="56"/>
      <c r="D7" s="57"/>
      <c r="E7" s="3" t="s">
        <v>71</v>
      </c>
      <c r="F7" s="3" t="s">
        <v>54</v>
      </c>
      <c r="G7" s="3" t="s">
        <v>55</v>
      </c>
      <c r="H7" s="3" t="s">
        <v>56</v>
      </c>
      <c r="I7" s="3" t="s">
        <v>57</v>
      </c>
      <c r="J7" s="3" t="s">
        <v>58</v>
      </c>
      <c r="K7" s="3" t="s">
        <v>53</v>
      </c>
      <c r="L7" s="3" t="s">
        <v>59</v>
      </c>
      <c r="M7" s="3" t="s">
        <v>60</v>
      </c>
      <c r="N7" s="3" t="s">
        <v>61</v>
      </c>
      <c r="O7" s="3" t="s">
        <v>62</v>
      </c>
      <c r="P7" s="3" t="s">
        <v>63</v>
      </c>
      <c r="Q7" s="4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 thickBot="1" x14ac:dyDescent="0.35">
      <c r="A8" s="58" t="s">
        <v>14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60"/>
      <c r="R8" s="1"/>
      <c r="S8" s="1"/>
      <c r="T8" s="1"/>
      <c r="U8" s="1"/>
      <c r="V8" s="1"/>
      <c r="W8" s="1"/>
      <c r="X8" s="1"/>
      <c r="Y8" s="1"/>
      <c r="Z8" s="1"/>
    </row>
    <row r="9" spans="1:26" ht="32.25" customHeight="1" thickBot="1" x14ac:dyDescent="0.35">
      <c r="A9" s="5" t="s">
        <v>15</v>
      </c>
      <c r="B9" s="6" t="s">
        <v>16</v>
      </c>
      <c r="C9" s="7"/>
      <c r="D9" s="8"/>
      <c r="E9" s="9" t="s">
        <v>2</v>
      </c>
      <c r="F9" s="9" t="s">
        <v>3</v>
      </c>
      <c r="G9" s="9" t="s">
        <v>4</v>
      </c>
      <c r="H9" s="9" t="s">
        <v>5</v>
      </c>
      <c r="I9" s="9" t="s">
        <v>6</v>
      </c>
      <c r="J9" s="9" t="s">
        <v>7</v>
      </c>
      <c r="K9" s="9" t="s">
        <v>8</v>
      </c>
      <c r="L9" s="9" t="s">
        <v>9</v>
      </c>
      <c r="M9" s="9" t="s">
        <v>10</v>
      </c>
      <c r="N9" s="9" t="s">
        <v>11</v>
      </c>
      <c r="O9" s="9" t="s">
        <v>12</v>
      </c>
      <c r="P9" s="9" t="s">
        <v>13</v>
      </c>
      <c r="Q9" s="10" t="s">
        <v>17</v>
      </c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1" t="s">
        <v>72</v>
      </c>
      <c r="B10" s="67">
        <v>5</v>
      </c>
      <c r="C10" s="62" t="s">
        <v>18</v>
      </c>
      <c r="D10" s="63"/>
      <c r="E10" s="12">
        <f>E11*$B$10</f>
        <v>950</v>
      </c>
      <c r="F10" s="12">
        <f>F11*$B$10</f>
        <v>975</v>
      </c>
      <c r="G10" s="12">
        <f>G11*$B$10</f>
        <v>1000</v>
      </c>
      <c r="H10" s="12">
        <f>H11*B10</f>
        <v>1025</v>
      </c>
      <c r="I10" s="12">
        <f>I11*B10</f>
        <v>1050</v>
      </c>
      <c r="J10" s="12">
        <f>J11*B10</f>
        <v>1075</v>
      </c>
      <c r="K10" s="12">
        <f>K11*B10</f>
        <v>1100</v>
      </c>
      <c r="L10" s="12">
        <f>L11*B10</f>
        <v>1125</v>
      </c>
      <c r="M10" s="12">
        <f>M11*B10</f>
        <v>1150</v>
      </c>
      <c r="N10" s="12">
        <f>N11*B10</f>
        <v>1175</v>
      </c>
      <c r="O10" s="12">
        <f>O11*B10</f>
        <v>1200</v>
      </c>
      <c r="P10" s="12">
        <f>P11*B10</f>
        <v>1225</v>
      </c>
      <c r="Q10" s="13">
        <f>SUM(B10:P10)</f>
        <v>13055</v>
      </c>
      <c r="R10" s="84"/>
      <c r="S10" s="1"/>
      <c r="T10" s="1"/>
      <c r="U10" s="1"/>
      <c r="V10" s="1"/>
      <c r="W10" s="1"/>
      <c r="X10" s="1"/>
      <c r="Y10" s="1"/>
      <c r="Z10" s="1"/>
    </row>
    <row r="11" spans="1:26" ht="19.5" customHeight="1" thickBot="1" x14ac:dyDescent="0.35">
      <c r="A11" s="14"/>
      <c r="B11" s="43"/>
      <c r="C11" s="64" t="s">
        <v>19</v>
      </c>
      <c r="D11" s="65"/>
      <c r="E11" s="15">
        <v>190</v>
      </c>
      <c r="F11" s="15">
        <v>195</v>
      </c>
      <c r="G11" s="15">
        <v>200</v>
      </c>
      <c r="H11" s="15">
        <v>205</v>
      </c>
      <c r="I11" s="15">
        <v>210</v>
      </c>
      <c r="J11" s="15">
        <v>215</v>
      </c>
      <c r="K11" s="15">
        <v>220</v>
      </c>
      <c r="L11" s="15">
        <v>225</v>
      </c>
      <c r="M11" s="15">
        <v>230</v>
      </c>
      <c r="N11" s="15">
        <v>235</v>
      </c>
      <c r="O11" s="15">
        <v>240</v>
      </c>
      <c r="P11" s="15">
        <v>245</v>
      </c>
      <c r="Q11" s="16">
        <f>SUM(E11:P11)</f>
        <v>2610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1" t="s">
        <v>73</v>
      </c>
      <c r="B12" s="42">
        <v>10</v>
      </c>
      <c r="C12" s="62" t="s">
        <v>18</v>
      </c>
      <c r="D12" s="63"/>
      <c r="E12" s="12">
        <f>E13*$B$12</f>
        <v>1400</v>
      </c>
      <c r="F12" s="12">
        <f>F13*$B$12</f>
        <v>1450</v>
      </c>
      <c r="G12" s="12">
        <f>G13*$B$12</f>
        <v>1500</v>
      </c>
      <c r="H12" s="12">
        <f>H13*B12</f>
        <v>1550</v>
      </c>
      <c r="I12" s="12">
        <f>I13*B12</f>
        <v>1600</v>
      </c>
      <c r="J12" s="12">
        <f>J13*B12</f>
        <v>1650</v>
      </c>
      <c r="K12" s="12">
        <f>K13*B12</f>
        <v>1700</v>
      </c>
      <c r="L12" s="12">
        <f>L13*B12</f>
        <v>1750</v>
      </c>
      <c r="M12" s="12">
        <f>M13*B12</f>
        <v>1800</v>
      </c>
      <c r="N12" s="12">
        <f>N13*B12</f>
        <v>1850</v>
      </c>
      <c r="O12" s="12">
        <f>O13*B12</f>
        <v>1900</v>
      </c>
      <c r="P12" s="12">
        <f>P13*B12</f>
        <v>1950</v>
      </c>
      <c r="Q12" s="13">
        <f>SUM(B12:P12)</f>
        <v>20110</v>
      </c>
      <c r="R12" s="84"/>
      <c r="S12" s="1"/>
      <c r="T12" s="1"/>
      <c r="U12" s="1"/>
      <c r="V12" s="1"/>
      <c r="W12" s="1"/>
      <c r="X12" s="1"/>
      <c r="Y12" s="1"/>
      <c r="Z12" s="1"/>
    </row>
    <row r="13" spans="1:26" ht="19.5" customHeight="1" thickBot="1" x14ac:dyDescent="0.35">
      <c r="A13" s="14"/>
      <c r="B13" s="43"/>
      <c r="C13" s="64" t="s">
        <v>19</v>
      </c>
      <c r="D13" s="65"/>
      <c r="E13" s="15">
        <v>140</v>
      </c>
      <c r="F13" s="15">
        <v>145</v>
      </c>
      <c r="G13" s="15">
        <v>150</v>
      </c>
      <c r="H13" s="15">
        <v>155</v>
      </c>
      <c r="I13" s="15">
        <v>160</v>
      </c>
      <c r="J13" s="15">
        <v>165</v>
      </c>
      <c r="K13" s="15">
        <v>170</v>
      </c>
      <c r="L13" s="15">
        <v>175</v>
      </c>
      <c r="M13" s="15">
        <v>180</v>
      </c>
      <c r="N13" s="15">
        <v>185</v>
      </c>
      <c r="O13" s="15">
        <v>190</v>
      </c>
      <c r="P13" s="15">
        <v>195</v>
      </c>
      <c r="Q13" s="16">
        <f>SUM(E13:P13)</f>
        <v>2010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1" t="s">
        <v>74</v>
      </c>
      <c r="B14" s="42">
        <v>15</v>
      </c>
      <c r="C14" s="62" t="s">
        <v>18</v>
      </c>
      <c r="D14" s="63"/>
      <c r="E14" s="12">
        <f>E15*$B$14</f>
        <v>1350</v>
      </c>
      <c r="F14" s="12">
        <f>F15*$B$14</f>
        <v>1425</v>
      </c>
      <c r="G14" s="12">
        <f>G15*$B$14</f>
        <v>1500</v>
      </c>
      <c r="H14" s="12">
        <f>H15*B14</f>
        <v>1575</v>
      </c>
      <c r="I14" s="12">
        <f>I15*B14</f>
        <v>1650</v>
      </c>
      <c r="J14" s="12">
        <f>J15*B14</f>
        <v>1725</v>
      </c>
      <c r="K14" s="12">
        <f>K15*B14</f>
        <v>1800</v>
      </c>
      <c r="L14" s="12">
        <f>L15*B14</f>
        <v>1875</v>
      </c>
      <c r="M14" s="12">
        <f>M15*B14</f>
        <v>1950</v>
      </c>
      <c r="N14" s="12">
        <f>N15*B14</f>
        <v>2025</v>
      </c>
      <c r="O14" s="12">
        <f>O15*B14</f>
        <v>2100</v>
      </c>
      <c r="P14" s="12">
        <f>P15*B14</f>
        <v>2175</v>
      </c>
      <c r="Q14" s="13">
        <f>SUM(B14:P14)</f>
        <v>21165</v>
      </c>
      <c r="R14" s="84"/>
      <c r="S14" s="1"/>
      <c r="T14" s="1"/>
      <c r="U14" s="1"/>
      <c r="V14" s="1"/>
      <c r="W14" s="1"/>
      <c r="X14" s="1"/>
      <c r="Y14" s="1"/>
      <c r="Z14" s="1"/>
    </row>
    <row r="15" spans="1:26" ht="19.5" customHeight="1" thickBot="1" x14ac:dyDescent="0.35">
      <c r="A15" s="14"/>
      <c r="B15" s="43"/>
      <c r="C15" s="64" t="s">
        <v>19</v>
      </c>
      <c r="D15" s="65"/>
      <c r="E15" s="15">
        <v>90</v>
      </c>
      <c r="F15" s="15">
        <v>95</v>
      </c>
      <c r="G15" s="15">
        <v>100</v>
      </c>
      <c r="H15" s="15">
        <v>105</v>
      </c>
      <c r="I15" s="15">
        <v>110</v>
      </c>
      <c r="J15" s="15">
        <v>115</v>
      </c>
      <c r="K15" s="15">
        <v>120</v>
      </c>
      <c r="L15" s="15">
        <v>125</v>
      </c>
      <c r="M15" s="15">
        <v>130</v>
      </c>
      <c r="N15" s="15">
        <v>135</v>
      </c>
      <c r="O15" s="15">
        <v>140</v>
      </c>
      <c r="P15" s="15">
        <v>145</v>
      </c>
      <c r="Q15" s="16">
        <f>SUM(E15:P15)</f>
        <v>1410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1"/>
      <c r="B16" s="42"/>
      <c r="C16" s="62" t="s">
        <v>18</v>
      </c>
      <c r="D16" s="63"/>
      <c r="E16" s="12">
        <v>0</v>
      </c>
      <c r="F16" s="12">
        <v>0</v>
      </c>
      <c r="G16" s="12">
        <f>G17*B16</f>
        <v>0</v>
      </c>
      <c r="H16" s="12">
        <f>H17*B16</f>
        <v>0</v>
      </c>
      <c r="I16" s="12">
        <f>I17*B16</f>
        <v>0</v>
      </c>
      <c r="J16" s="12">
        <f>J17*B16</f>
        <v>0</v>
      </c>
      <c r="K16" s="12">
        <f>K17*B16</f>
        <v>0</v>
      </c>
      <c r="L16" s="12">
        <f>L17*B16</f>
        <v>0</v>
      </c>
      <c r="M16" s="12">
        <f>M17*B16</f>
        <v>0</v>
      </c>
      <c r="N16" s="12">
        <f>N17*B16</f>
        <v>0</v>
      </c>
      <c r="O16" s="12">
        <f>O17*B16</f>
        <v>0</v>
      </c>
      <c r="P16" s="12">
        <f>P17*B16</f>
        <v>0</v>
      </c>
      <c r="Q16" s="13">
        <f>SUM(B16:P16)</f>
        <v>0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thickBot="1" x14ac:dyDescent="0.35">
      <c r="A17" s="14"/>
      <c r="B17" s="43"/>
      <c r="C17" s="64" t="s">
        <v>19</v>
      </c>
      <c r="D17" s="6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6">
        <f>SUM(E17:P17)</f>
        <v>0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1"/>
      <c r="B18" s="42"/>
      <c r="C18" s="62" t="s">
        <v>18</v>
      </c>
      <c r="D18" s="63"/>
      <c r="E18" s="12">
        <v>0</v>
      </c>
      <c r="F18" s="12">
        <v>0</v>
      </c>
      <c r="G18" s="12">
        <f>G19*B18</f>
        <v>0</v>
      </c>
      <c r="H18" s="12">
        <f>H19*B18</f>
        <v>0</v>
      </c>
      <c r="I18" s="12">
        <f>I19*B18</f>
        <v>0</v>
      </c>
      <c r="J18" s="12">
        <f>J19*B18</f>
        <v>0</v>
      </c>
      <c r="K18" s="12">
        <f>K19*B18</f>
        <v>0</v>
      </c>
      <c r="L18" s="12">
        <f>L19*B18</f>
        <v>0</v>
      </c>
      <c r="M18" s="12">
        <f>M19*B18</f>
        <v>0</v>
      </c>
      <c r="N18" s="12">
        <f>N19*B18</f>
        <v>0</v>
      </c>
      <c r="O18" s="12">
        <f>O19*B18</f>
        <v>0</v>
      </c>
      <c r="P18" s="12">
        <f>P19*B18</f>
        <v>0</v>
      </c>
      <c r="Q18" s="13">
        <f>SUM(B18:P18)</f>
        <v>0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thickBot="1" x14ac:dyDescent="0.35">
      <c r="A19" s="14"/>
      <c r="B19" s="43"/>
      <c r="C19" s="64" t="s">
        <v>19</v>
      </c>
      <c r="D19" s="6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6">
        <f>SUM(E19:P19)</f>
        <v>0</v>
      </c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3">
      <c r="A20" s="11"/>
      <c r="B20" s="67"/>
      <c r="C20" s="62" t="s">
        <v>18</v>
      </c>
      <c r="D20" s="63"/>
      <c r="E20" s="17">
        <v>0</v>
      </c>
      <c r="F20" s="17">
        <v>0</v>
      </c>
      <c r="G20" s="17">
        <f>G21*B20</f>
        <v>0</v>
      </c>
      <c r="H20" s="17">
        <f>H21*B20</f>
        <v>0</v>
      </c>
      <c r="I20" s="17">
        <f>I21*B20</f>
        <v>0</v>
      </c>
      <c r="J20" s="17">
        <f>J21*B20</f>
        <v>0</v>
      </c>
      <c r="K20" s="17">
        <f>K21*B20</f>
        <v>0</v>
      </c>
      <c r="L20" s="17">
        <f>L21*B20</f>
        <v>0</v>
      </c>
      <c r="M20" s="17">
        <f>M21*B20</f>
        <v>0</v>
      </c>
      <c r="N20" s="17">
        <f>N21*B20</f>
        <v>0</v>
      </c>
      <c r="O20" s="17">
        <f>O21*B20</f>
        <v>0</v>
      </c>
      <c r="P20" s="17">
        <f>P21*B20</f>
        <v>0</v>
      </c>
      <c r="Q20" s="18">
        <f>SUM(B20:P20)</f>
        <v>0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thickBot="1" x14ac:dyDescent="0.35">
      <c r="A21" s="1"/>
      <c r="B21" s="68"/>
      <c r="C21" s="73" t="s">
        <v>19</v>
      </c>
      <c r="D21" s="60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20">
        <f>SUM(E21:P21)</f>
        <v>0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27" customHeight="1" x14ac:dyDescent="0.3">
      <c r="A22" s="69" t="s">
        <v>20</v>
      </c>
      <c r="B22" s="70"/>
      <c r="C22" s="74" t="s">
        <v>18</v>
      </c>
      <c r="D22" s="63"/>
      <c r="E22" s="21">
        <f t="shared" ref="E22:Q23" si="0">E10+E12+E14+E16+E18+E20</f>
        <v>3700</v>
      </c>
      <c r="F22" s="21">
        <f t="shared" si="0"/>
        <v>3850</v>
      </c>
      <c r="G22" s="21">
        <f t="shared" si="0"/>
        <v>4000</v>
      </c>
      <c r="H22" s="21">
        <f t="shared" si="0"/>
        <v>4150</v>
      </c>
      <c r="I22" s="21">
        <f t="shared" si="0"/>
        <v>4300</v>
      </c>
      <c r="J22" s="21">
        <f t="shared" si="0"/>
        <v>4450</v>
      </c>
      <c r="K22" s="21">
        <f t="shared" si="0"/>
        <v>4600</v>
      </c>
      <c r="L22" s="21">
        <f t="shared" si="0"/>
        <v>4750</v>
      </c>
      <c r="M22" s="21">
        <f t="shared" si="0"/>
        <v>4900</v>
      </c>
      <c r="N22" s="21">
        <f t="shared" si="0"/>
        <v>5050</v>
      </c>
      <c r="O22" s="21">
        <f t="shared" si="0"/>
        <v>5200</v>
      </c>
      <c r="P22" s="21">
        <f t="shared" si="0"/>
        <v>5350</v>
      </c>
      <c r="Q22" s="21">
        <f t="shared" si="0"/>
        <v>54330</v>
      </c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27" customHeight="1" x14ac:dyDescent="0.3">
      <c r="A23" s="71"/>
      <c r="B23" s="72"/>
      <c r="C23" s="61" t="s">
        <v>19</v>
      </c>
      <c r="D23" s="51"/>
      <c r="E23" s="23">
        <f t="shared" si="0"/>
        <v>420</v>
      </c>
      <c r="F23" s="23">
        <f t="shared" si="0"/>
        <v>435</v>
      </c>
      <c r="G23" s="23">
        <f t="shared" si="0"/>
        <v>450</v>
      </c>
      <c r="H23" s="23">
        <f t="shared" si="0"/>
        <v>465</v>
      </c>
      <c r="I23" s="23">
        <f t="shared" si="0"/>
        <v>480</v>
      </c>
      <c r="J23" s="23">
        <f t="shared" si="0"/>
        <v>495</v>
      </c>
      <c r="K23" s="23">
        <f t="shared" si="0"/>
        <v>510</v>
      </c>
      <c r="L23" s="23">
        <f t="shared" si="0"/>
        <v>525</v>
      </c>
      <c r="M23" s="23">
        <f t="shared" si="0"/>
        <v>540</v>
      </c>
      <c r="N23" s="23">
        <f t="shared" si="0"/>
        <v>555</v>
      </c>
      <c r="O23" s="23">
        <f t="shared" si="0"/>
        <v>570</v>
      </c>
      <c r="P23" s="23">
        <f t="shared" si="0"/>
        <v>585</v>
      </c>
      <c r="Q23" s="23">
        <f t="shared" si="0"/>
        <v>6030</v>
      </c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36" customHeight="1" x14ac:dyDescent="0.3">
      <c r="A24" s="66" t="s">
        <v>21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6"/>
      <c r="R24" s="1"/>
      <c r="S24" s="1"/>
      <c r="T24" s="1"/>
      <c r="U24" s="1"/>
      <c r="V24" s="1"/>
      <c r="W24" s="1"/>
      <c r="X24" s="1"/>
      <c r="Y24" s="1"/>
      <c r="Z24" s="1"/>
    </row>
    <row r="25" spans="1:26" ht="36" customHeight="1" x14ac:dyDescent="0.3">
      <c r="A25" s="24" t="s">
        <v>22</v>
      </c>
      <c r="B25" s="25" t="s">
        <v>23</v>
      </c>
      <c r="C25" s="25" t="s">
        <v>24</v>
      </c>
      <c r="D25" s="25" t="s">
        <v>25</v>
      </c>
      <c r="E25" s="26" t="s">
        <v>2</v>
      </c>
      <c r="F25" s="26" t="s">
        <v>3</v>
      </c>
      <c r="G25" s="26" t="s">
        <v>4</v>
      </c>
      <c r="H25" s="26" t="s">
        <v>5</v>
      </c>
      <c r="I25" s="26" t="s">
        <v>6</v>
      </c>
      <c r="J25" s="26" t="s">
        <v>7</v>
      </c>
      <c r="K25" s="26" t="s">
        <v>8</v>
      </c>
      <c r="L25" s="26" t="s">
        <v>9</v>
      </c>
      <c r="M25" s="26" t="s">
        <v>10</v>
      </c>
      <c r="N25" s="26" t="s">
        <v>11</v>
      </c>
      <c r="O25" s="26" t="s">
        <v>12</v>
      </c>
      <c r="P25" s="26" t="s">
        <v>13</v>
      </c>
      <c r="Q25" s="26" t="s">
        <v>17</v>
      </c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27" t="s">
        <v>70</v>
      </c>
      <c r="B26" s="28">
        <v>10000</v>
      </c>
      <c r="C26" s="28">
        <v>0</v>
      </c>
      <c r="D26" s="28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30">
        <f t="shared" ref="Q26:Q32" si="1">SUM(B26:P26)</f>
        <v>10000</v>
      </c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27" t="s">
        <v>65</v>
      </c>
      <c r="B27" s="28"/>
      <c r="C27" s="28"/>
      <c r="D27" s="28"/>
      <c r="E27" s="29">
        <v>20</v>
      </c>
      <c r="F27" s="29">
        <v>20</v>
      </c>
      <c r="G27" s="29">
        <v>20</v>
      </c>
      <c r="H27" s="29">
        <v>20</v>
      </c>
      <c r="I27" s="29">
        <v>20</v>
      </c>
      <c r="J27" s="29">
        <v>20</v>
      </c>
      <c r="K27" s="29">
        <v>20</v>
      </c>
      <c r="L27" s="29">
        <v>20</v>
      </c>
      <c r="M27" s="29">
        <v>20</v>
      </c>
      <c r="N27" s="29">
        <v>20</v>
      </c>
      <c r="O27" s="29">
        <v>20</v>
      </c>
      <c r="P27" s="29">
        <v>20</v>
      </c>
      <c r="Q27" s="30">
        <f t="shared" si="1"/>
        <v>240</v>
      </c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27" t="s">
        <v>66</v>
      </c>
      <c r="B28" s="28"/>
      <c r="C28" s="28"/>
      <c r="D28" s="28"/>
      <c r="E28" s="29"/>
      <c r="F28" s="29"/>
      <c r="G28" s="29">
        <v>250</v>
      </c>
      <c r="H28" s="29"/>
      <c r="I28" s="29"/>
      <c r="J28" s="29">
        <v>250</v>
      </c>
      <c r="K28" s="29"/>
      <c r="L28" s="29"/>
      <c r="M28" s="29">
        <v>250</v>
      </c>
      <c r="N28" s="29"/>
      <c r="O28" s="29"/>
      <c r="P28" s="29">
        <v>250</v>
      </c>
      <c r="Q28" s="30">
        <f t="shared" si="1"/>
        <v>1000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ht="22.5" customHeight="1" x14ac:dyDescent="0.3">
      <c r="A29" s="27"/>
      <c r="B29" s="28"/>
      <c r="C29" s="28"/>
      <c r="D29" s="28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0">
        <f t="shared" si="1"/>
        <v>0</v>
      </c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27"/>
      <c r="B30" s="28"/>
      <c r="C30" s="28"/>
      <c r="D30" s="28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0">
        <f t="shared" si="1"/>
        <v>0</v>
      </c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27"/>
      <c r="B31" s="28"/>
      <c r="C31" s="28"/>
      <c r="D31" s="28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30">
        <f t="shared" si="1"/>
        <v>0</v>
      </c>
      <c r="R31" s="1"/>
      <c r="S31" s="1"/>
      <c r="T31" s="1"/>
      <c r="U31" s="1"/>
      <c r="V31" s="1"/>
      <c r="W31" s="1"/>
      <c r="X31" s="1"/>
      <c r="Y31" s="1"/>
      <c r="Z31" s="1"/>
    </row>
    <row r="32" spans="1:26" ht="27.75" customHeight="1" x14ac:dyDescent="0.3">
      <c r="A32" s="6" t="s">
        <v>26</v>
      </c>
      <c r="B32" s="31">
        <f t="shared" ref="B32:P32" si="2">SUM(B26:B31)</f>
        <v>10000</v>
      </c>
      <c r="C32" s="31">
        <f t="shared" si="2"/>
        <v>0</v>
      </c>
      <c r="D32" s="31">
        <f t="shared" si="2"/>
        <v>0</v>
      </c>
      <c r="E32" s="31">
        <f t="shared" si="2"/>
        <v>20</v>
      </c>
      <c r="F32" s="31">
        <f t="shared" si="2"/>
        <v>20</v>
      </c>
      <c r="G32" s="31">
        <f t="shared" si="2"/>
        <v>270</v>
      </c>
      <c r="H32" s="31">
        <f t="shared" si="2"/>
        <v>20</v>
      </c>
      <c r="I32" s="31">
        <f t="shared" si="2"/>
        <v>20</v>
      </c>
      <c r="J32" s="31">
        <f t="shared" si="2"/>
        <v>270</v>
      </c>
      <c r="K32" s="31">
        <f t="shared" si="2"/>
        <v>20</v>
      </c>
      <c r="L32" s="31">
        <f t="shared" si="2"/>
        <v>20</v>
      </c>
      <c r="M32" s="31">
        <f t="shared" si="2"/>
        <v>270</v>
      </c>
      <c r="N32" s="31">
        <f t="shared" si="2"/>
        <v>20</v>
      </c>
      <c r="O32" s="31">
        <f t="shared" si="2"/>
        <v>20</v>
      </c>
      <c r="P32" s="31">
        <f t="shared" si="2"/>
        <v>270</v>
      </c>
      <c r="Q32" s="31">
        <f t="shared" si="1"/>
        <v>11240</v>
      </c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25.5" customHeight="1" x14ac:dyDescent="0.3">
      <c r="A33" s="32" t="s">
        <v>27</v>
      </c>
      <c r="B33" s="33"/>
      <c r="C33" s="33"/>
      <c r="D33" s="33"/>
      <c r="E33" s="33">
        <f t="shared" ref="E33:Q33" si="3">E32/E22</f>
        <v>5.4054054054054057E-3</v>
      </c>
      <c r="F33" s="33">
        <f t="shared" si="3"/>
        <v>5.1948051948051948E-3</v>
      </c>
      <c r="G33" s="33">
        <f t="shared" si="3"/>
        <v>6.7500000000000004E-2</v>
      </c>
      <c r="H33" s="33">
        <f t="shared" si="3"/>
        <v>4.8192771084337354E-3</v>
      </c>
      <c r="I33" s="33">
        <f t="shared" si="3"/>
        <v>4.6511627906976744E-3</v>
      </c>
      <c r="J33" s="33">
        <f t="shared" si="3"/>
        <v>6.0674157303370786E-2</v>
      </c>
      <c r="K33" s="33">
        <f t="shared" si="3"/>
        <v>4.3478260869565218E-3</v>
      </c>
      <c r="L33" s="33">
        <f t="shared" si="3"/>
        <v>4.2105263157894736E-3</v>
      </c>
      <c r="M33" s="33">
        <f t="shared" si="3"/>
        <v>5.5102040816326532E-2</v>
      </c>
      <c r="N33" s="33">
        <f t="shared" si="3"/>
        <v>3.9603960396039604E-3</v>
      </c>
      <c r="O33" s="33">
        <f t="shared" si="3"/>
        <v>3.8461538461538464E-3</v>
      </c>
      <c r="P33" s="33">
        <f t="shared" si="3"/>
        <v>5.046728971962617E-2</v>
      </c>
      <c r="Q33" s="33">
        <f t="shared" si="3"/>
        <v>0.20688385790539296</v>
      </c>
      <c r="R33" s="1"/>
      <c r="S33" s="1"/>
      <c r="T33" s="1"/>
      <c r="U33" s="1"/>
      <c r="V33" s="1"/>
      <c r="W33" s="1"/>
      <c r="X33" s="1"/>
      <c r="Y33" s="1"/>
      <c r="Z33" s="1"/>
    </row>
    <row r="34" spans="1:26" ht="15.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6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6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6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6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6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7">
    <mergeCell ref="B10:B11"/>
    <mergeCell ref="C10:D10"/>
    <mergeCell ref="C11:D11"/>
    <mergeCell ref="A3:Q3"/>
    <mergeCell ref="A4:Q4"/>
    <mergeCell ref="A5:Q5"/>
    <mergeCell ref="A6:D7"/>
    <mergeCell ref="A8:Q8"/>
    <mergeCell ref="B12:B13"/>
    <mergeCell ref="C12:D12"/>
    <mergeCell ref="C13:D13"/>
    <mergeCell ref="B14:B15"/>
    <mergeCell ref="C14:D14"/>
    <mergeCell ref="C15:D15"/>
    <mergeCell ref="B16:B17"/>
    <mergeCell ref="C16:D16"/>
    <mergeCell ref="C17:D17"/>
    <mergeCell ref="B18:B19"/>
    <mergeCell ref="C18:D18"/>
    <mergeCell ref="C19:D19"/>
    <mergeCell ref="A24:Q24"/>
    <mergeCell ref="B20:B21"/>
    <mergeCell ref="C20:D20"/>
    <mergeCell ref="C21:D21"/>
    <mergeCell ref="A22:B23"/>
    <mergeCell ref="C22:D22"/>
    <mergeCell ref="C23:D23"/>
  </mergeCells>
  <pageMargins left="0.7" right="0.7" top="0.75" bottom="0.75" header="0" footer="0"/>
  <pageSetup paperSize="5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zoomScale="80" zoomScaleNormal="80" workbookViewId="0">
      <selection activeCell="B10" sqref="B10:B11"/>
    </sheetView>
  </sheetViews>
  <sheetFormatPr baseColWidth="10" defaultColWidth="11.19921875" defaultRowHeight="15" customHeight="1" x14ac:dyDescent="0.3"/>
  <cols>
    <col min="1" max="1" width="51.09765625" customWidth="1"/>
    <col min="2" max="2" width="13.09765625" customWidth="1"/>
    <col min="3" max="17" width="14.796875" customWidth="1"/>
    <col min="18" max="26" width="10.796875" customWidth="1"/>
  </cols>
  <sheetData>
    <row r="1" spans="1:26" ht="15.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399999999999999" x14ac:dyDescent="0.3">
      <c r="A3" s="44" t="s">
        <v>28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  <c r="R3" s="1"/>
      <c r="S3" s="1"/>
      <c r="T3" s="1"/>
      <c r="U3" s="1"/>
      <c r="V3" s="1"/>
      <c r="W3" s="1"/>
      <c r="X3" s="1"/>
      <c r="Y3" s="1"/>
      <c r="Z3" s="1"/>
    </row>
    <row r="4" spans="1:26" ht="33" customHeight="1" x14ac:dyDescent="0.3">
      <c r="A4" s="47" t="s">
        <v>29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1"/>
      <c r="S4" s="1"/>
      <c r="T4" s="1"/>
      <c r="U4" s="1"/>
      <c r="V4" s="1"/>
      <c r="W4" s="1"/>
      <c r="X4" s="1"/>
      <c r="Y4" s="1"/>
      <c r="Z4" s="1"/>
    </row>
    <row r="5" spans="1:26" ht="27" customHeight="1" x14ac:dyDescent="0.3">
      <c r="A5" s="49" t="s">
        <v>30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3">
      <c r="A6" s="75"/>
      <c r="B6" s="53"/>
      <c r="C6" s="53"/>
      <c r="D6" s="54"/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 t="s">
        <v>10</v>
      </c>
      <c r="N6" s="2" t="s">
        <v>11</v>
      </c>
      <c r="O6" s="2" t="s">
        <v>12</v>
      </c>
      <c r="P6" s="2" t="s">
        <v>13</v>
      </c>
      <c r="Q6" s="2"/>
      <c r="R6" s="1"/>
      <c r="S6" s="1"/>
      <c r="T6" s="1"/>
      <c r="U6" s="1"/>
      <c r="V6" s="1"/>
      <c r="W6" s="1"/>
      <c r="X6" s="1"/>
      <c r="Y6" s="1"/>
      <c r="Z6" s="1"/>
    </row>
    <row r="7" spans="1:26" ht="50.25" customHeight="1" x14ac:dyDescent="0.3">
      <c r="A7" s="55"/>
      <c r="B7" s="56"/>
      <c r="C7" s="56"/>
      <c r="D7" s="57"/>
      <c r="E7" s="3" t="s">
        <v>31</v>
      </c>
      <c r="F7" s="3" t="s">
        <v>32</v>
      </c>
      <c r="G7" s="3"/>
      <c r="H7" s="3"/>
      <c r="I7" s="3" t="s">
        <v>33</v>
      </c>
      <c r="J7" s="3" t="s">
        <v>34</v>
      </c>
      <c r="K7" s="3" t="s">
        <v>35</v>
      </c>
      <c r="L7" s="3" t="s">
        <v>33</v>
      </c>
      <c r="M7" s="3" t="s">
        <v>33</v>
      </c>
      <c r="N7" s="3"/>
      <c r="O7" s="3" t="s">
        <v>36</v>
      </c>
      <c r="P7" s="3" t="s">
        <v>37</v>
      </c>
      <c r="Q7" s="4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 x14ac:dyDescent="0.3">
      <c r="A8" s="58" t="s">
        <v>14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60"/>
      <c r="R8" s="1"/>
      <c r="S8" s="1"/>
      <c r="T8" s="1"/>
      <c r="U8" s="1"/>
      <c r="V8" s="1"/>
      <c r="W8" s="1"/>
      <c r="X8" s="1"/>
      <c r="Y8" s="1"/>
      <c r="Z8" s="1"/>
    </row>
    <row r="9" spans="1:26" ht="27" customHeight="1" x14ac:dyDescent="0.3">
      <c r="A9" s="36" t="s">
        <v>38</v>
      </c>
      <c r="B9" s="34" t="s">
        <v>16</v>
      </c>
      <c r="C9" s="83"/>
      <c r="D9" s="60"/>
      <c r="E9" s="34" t="s">
        <v>2</v>
      </c>
      <c r="F9" s="34" t="s">
        <v>3</v>
      </c>
      <c r="G9" s="34" t="s">
        <v>4</v>
      </c>
      <c r="H9" s="34" t="s">
        <v>5</v>
      </c>
      <c r="I9" s="34" t="s">
        <v>6</v>
      </c>
      <c r="J9" s="34" t="s">
        <v>7</v>
      </c>
      <c r="K9" s="34" t="s">
        <v>8</v>
      </c>
      <c r="L9" s="34" t="s">
        <v>9</v>
      </c>
      <c r="M9" s="34" t="s">
        <v>10</v>
      </c>
      <c r="N9" s="34" t="s">
        <v>11</v>
      </c>
      <c r="O9" s="34" t="s">
        <v>12</v>
      </c>
      <c r="P9" s="34" t="s">
        <v>13</v>
      </c>
      <c r="Q9" s="34" t="s">
        <v>17</v>
      </c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76" t="s">
        <v>39</v>
      </c>
      <c r="B10" s="78">
        <v>50</v>
      </c>
      <c r="C10" s="62" t="s">
        <v>40</v>
      </c>
      <c r="D10" s="63"/>
      <c r="E10" s="12">
        <f>E11*B10</f>
        <v>250</v>
      </c>
      <c r="F10" s="12">
        <f>F11*B10</f>
        <v>3000</v>
      </c>
      <c r="G10" s="12">
        <f>G11*B10</f>
        <v>750</v>
      </c>
      <c r="H10" s="12">
        <f>H11*B10</f>
        <v>1250</v>
      </c>
      <c r="I10" s="12">
        <f>I11*B10</f>
        <v>250</v>
      </c>
      <c r="J10" s="12">
        <f>J11*B10</f>
        <v>1250</v>
      </c>
      <c r="K10" s="12">
        <f>K11*B10</f>
        <v>0</v>
      </c>
      <c r="L10" s="12">
        <f>L11*B10</f>
        <v>0</v>
      </c>
      <c r="M10" s="12">
        <f>M11*B10</f>
        <v>0</v>
      </c>
      <c r="N10" s="12">
        <f>N11*B10</f>
        <v>0</v>
      </c>
      <c r="O10" s="12">
        <f>O11*B10</f>
        <v>0</v>
      </c>
      <c r="P10" s="12">
        <f>P11*B10</f>
        <v>0</v>
      </c>
      <c r="Q10" s="13">
        <f>SUM(B10:P10)</f>
        <v>6800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77"/>
      <c r="B11" s="79"/>
      <c r="C11" s="64" t="s">
        <v>19</v>
      </c>
      <c r="D11" s="65"/>
      <c r="E11" s="15">
        <v>5</v>
      </c>
      <c r="F11" s="15">
        <v>60</v>
      </c>
      <c r="G11" s="15">
        <v>15</v>
      </c>
      <c r="H11" s="15">
        <v>25</v>
      </c>
      <c r="I11" s="15">
        <v>5</v>
      </c>
      <c r="J11" s="15">
        <v>25</v>
      </c>
      <c r="K11" s="15"/>
      <c r="L11" s="15"/>
      <c r="M11" s="15"/>
      <c r="N11" s="15"/>
      <c r="O11" s="15"/>
      <c r="P11" s="15"/>
      <c r="Q11" s="16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76" t="s">
        <v>41</v>
      </c>
      <c r="B12" s="78">
        <v>400</v>
      </c>
      <c r="C12" s="62" t="s">
        <v>40</v>
      </c>
      <c r="D12" s="63"/>
      <c r="E12" s="12">
        <f>E13*B12</f>
        <v>0</v>
      </c>
      <c r="F12" s="12">
        <f>F13*B12</f>
        <v>0</v>
      </c>
      <c r="G12" s="12">
        <f>G13*B12</f>
        <v>0</v>
      </c>
      <c r="H12" s="12">
        <f>H13*B12</f>
        <v>0</v>
      </c>
      <c r="I12" s="12">
        <f>I13*B12</f>
        <v>0</v>
      </c>
      <c r="J12" s="12">
        <f>J13*B12</f>
        <v>0</v>
      </c>
      <c r="K12" s="12">
        <f>K13*B12</f>
        <v>0</v>
      </c>
      <c r="L12" s="12">
        <f>L13*B12</f>
        <v>0</v>
      </c>
      <c r="M12" s="12">
        <f>M13*B12</f>
        <v>0</v>
      </c>
      <c r="N12" s="12">
        <f>N13*B12</f>
        <v>0</v>
      </c>
      <c r="O12" s="12">
        <f>O13*B12</f>
        <v>0</v>
      </c>
      <c r="P12" s="12">
        <f>P13*B12</f>
        <v>0</v>
      </c>
      <c r="Q12" s="13">
        <f>SUM(B12:P12)</f>
        <v>400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77"/>
      <c r="B13" s="79"/>
      <c r="C13" s="64" t="s">
        <v>19</v>
      </c>
      <c r="D13" s="65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8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76" t="s">
        <v>42</v>
      </c>
      <c r="B14" s="78">
        <v>30</v>
      </c>
      <c r="C14" s="62" t="s">
        <v>40</v>
      </c>
      <c r="D14" s="63"/>
      <c r="E14" s="12">
        <f>E15*B14</f>
        <v>30</v>
      </c>
      <c r="F14" s="12">
        <f>F15*B14</f>
        <v>150</v>
      </c>
      <c r="G14" s="12">
        <f>G15*B14</f>
        <v>120</v>
      </c>
      <c r="H14" s="12">
        <f>H15*B14</f>
        <v>180</v>
      </c>
      <c r="I14" s="12">
        <f>I15*B14</f>
        <v>90</v>
      </c>
      <c r="J14" s="12">
        <f>J15*B14</f>
        <v>90</v>
      </c>
      <c r="K14" s="12">
        <f>K15*B14</f>
        <v>90</v>
      </c>
      <c r="L14" s="12">
        <f>L15*B14</f>
        <v>90</v>
      </c>
      <c r="M14" s="12">
        <f>M15*B14</f>
        <v>90</v>
      </c>
      <c r="N14" s="12">
        <f>N15*B14</f>
        <v>90</v>
      </c>
      <c r="O14" s="12">
        <f>O15*B14</f>
        <v>90</v>
      </c>
      <c r="P14" s="12">
        <f>P15*B14</f>
        <v>90</v>
      </c>
      <c r="Q14" s="13">
        <f>SUM(B14:P14)</f>
        <v>1230</v>
      </c>
      <c r="R14" s="1"/>
      <c r="S14" s="1"/>
      <c r="T14" s="1"/>
      <c r="U14" s="1"/>
      <c r="V14" s="1"/>
      <c r="W14" s="1"/>
      <c r="X14" s="1"/>
      <c r="Y14" s="1"/>
      <c r="Z14" s="1"/>
    </row>
    <row r="15" spans="1:26" ht="15.6" x14ac:dyDescent="0.3">
      <c r="A15" s="77"/>
      <c r="B15" s="79"/>
      <c r="C15" s="64" t="s">
        <v>19</v>
      </c>
      <c r="D15" s="65"/>
      <c r="E15" s="15">
        <v>1</v>
      </c>
      <c r="F15" s="15">
        <v>5</v>
      </c>
      <c r="G15" s="15">
        <v>4</v>
      </c>
      <c r="H15" s="15">
        <v>6</v>
      </c>
      <c r="I15" s="15">
        <v>3</v>
      </c>
      <c r="J15" s="15">
        <v>3</v>
      </c>
      <c r="K15" s="15">
        <v>3</v>
      </c>
      <c r="L15" s="15">
        <v>3</v>
      </c>
      <c r="M15" s="15">
        <v>3</v>
      </c>
      <c r="N15" s="15">
        <v>3</v>
      </c>
      <c r="O15" s="15">
        <v>3</v>
      </c>
      <c r="P15" s="15">
        <v>3</v>
      </c>
      <c r="Q15" s="16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76" t="s">
        <v>43</v>
      </c>
      <c r="B16" s="78">
        <v>45</v>
      </c>
      <c r="C16" s="62" t="s">
        <v>40</v>
      </c>
      <c r="D16" s="63"/>
      <c r="E16" s="12">
        <f>E17*B16</f>
        <v>0</v>
      </c>
      <c r="F16" s="12">
        <f>F17*B16</f>
        <v>0</v>
      </c>
      <c r="G16" s="12">
        <f>G17*B16</f>
        <v>0</v>
      </c>
      <c r="H16" s="12">
        <f>H17*B16</f>
        <v>225</v>
      </c>
      <c r="I16" s="12">
        <f>I17*B16</f>
        <v>450</v>
      </c>
      <c r="J16" s="12">
        <f>J17*B16</f>
        <v>675</v>
      </c>
      <c r="K16" s="12">
        <f>K17*B16</f>
        <v>900</v>
      </c>
      <c r="L16" s="12">
        <f>L17*B16</f>
        <v>1125</v>
      </c>
      <c r="M16" s="12">
        <f>M17*B16</f>
        <v>0</v>
      </c>
      <c r="N16" s="12">
        <f>N17*B16</f>
        <v>0</v>
      </c>
      <c r="O16" s="12">
        <f>O17*B16</f>
        <v>0</v>
      </c>
      <c r="P16" s="12">
        <f>P17*B16</f>
        <v>0</v>
      </c>
      <c r="Q16" s="13">
        <f>SUM(B16:P16)</f>
        <v>3420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 ht="15.6" x14ac:dyDescent="0.3">
      <c r="A17" s="77"/>
      <c r="B17" s="79"/>
      <c r="C17" s="64" t="s">
        <v>19</v>
      </c>
      <c r="D17" s="65"/>
      <c r="E17" s="15"/>
      <c r="F17" s="15"/>
      <c r="G17" s="15"/>
      <c r="H17" s="15">
        <v>5</v>
      </c>
      <c r="I17" s="15">
        <v>10</v>
      </c>
      <c r="J17" s="15">
        <v>15</v>
      </c>
      <c r="K17" s="15">
        <v>20</v>
      </c>
      <c r="L17" s="15">
        <v>25</v>
      </c>
      <c r="M17" s="15"/>
      <c r="N17" s="15"/>
      <c r="O17" s="15"/>
      <c r="P17" s="15"/>
      <c r="Q17" s="16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76" t="s">
        <v>44</v>
      </c>
      <c r="B18" s="78">
        <v>120</v>
      </c>
      <c r="C18" s="62" t="s">
        <v>40</v>
      </c>
      <c r="D18" s="63"/>
      <c r="E18" s="12">
        <f>E19*B18</f>
        <v>0</v>
      </c>
      <c r="F18" s="12">
        <f>F19*B18</f>
        <v>0</v>
      </c>
      <c r="G18" s="12">
        <f>G19*B18</f>
        <v>0</v>
      </c>
      <c r="H18" s="12">
        <f>H19*B18</f>
        <v>240</v>
      </c>
      <c r="I18" s="12">
        <f>I19*B18</f>
        <v>600</v>
      </c>
      <c r="J18" s="12">
        <f>J19*B18</f>
        <v>480</v>
      </c>
      <c r="K18" s="12">
        <f>K19*B18</f>
        <v>480</v>
      </c>
      <c r="L18" s="12">
        <f>L19*B18</f>
        <v>480</v>
      </c>
      <c r="M18" s="12">
        <f>M19*B18</f>
        <v>240</v>
      </c>
      <c r="N18" s="12">
        <f>N19*B18</f>
        <v>120</v>
      </c>
      <c r="O18" s="12">
        <f>O19*B18</f>
        <v>120</v>
      </c>
      <c r="P18" s="12">
        <f>P19*B18</f>
        <v>120</v>
      </c>
      <c r="Q18" s="13">
        <f>SUM(B18:P18)</f>
        <v>3000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 ht="15.6" x14ac:dyDescent="0.3">
      <c r="A19" s="77"/>
      <c r="B19" s="79"/>
      <c r="C19" s="64" t="s">
        <v>19</v>
      </c>
      <c r="D19" s="65"/>
      <c r="E19" s="15"/>
      <c r="F19" s="15"/>
      <c r="G19" s="15"/>
      <c r="H19" s="15">
        <v>2</v>
      </c>
      <c r="I19" s="15">
        <v>5</v>
      </c>
      <c r="J19" s="15">
        <v>4</v>
      </c>
      <c r="K19" s="15">
        <v>4</v>
      </c>
      <c r="L19" s="15">
        <v>4</v>
      </c>
      <c r="M19" s="15">
        <v>2</v>
      </c>
      <c r="N19" s="15">
        <v>1</v>
      </c>
      <c r="O19" s="15">
        <v>1</v>
      </c>
      <c r="P19" s="15">
        <v>1</v>
      </c>
      <c r="Q19" s="16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3">
      <c r="A20" s="76" t="s">
        <v>45</v>
      </c>
      <c r="B20" s="78">
        <v>150</v>
      </c>
      <c r="C20" s="62" t="s">
        <v>40</v>
      </c>
      <c r="D20" s="63"/>
      <c r="E20" s="12">
        <f>E21*B20</f>
        <v>750</v>
      </c>
      <c r="F20" s="12">
        <f>F21*B20</f>
        <v>3750</v>
      </c>
      <c r="G20" s="12">
        <f>G21*B20</f>
        <v>750</v>
      </c>
      <c r="H20" s="12">
        <f>H21*B20</f>
        <v>0</v>
      </c>
      <c r="I20" s="12">
        <f>I21*B20</f>
        <v>8250</v>
      </c>
      <c r="J20" s="12">
        <f>J21*B20</f>
        <v>10500</v>
      </c>
      <c r="K20" s="12">
        <f>K21*B20</f>
        <v>10500</v>
      </c>
      <c r="L20" s="12">
        <f>L21*B20</f>
        <v>10500</v>
      </c>
      <c r="M20" s="12">
        <f>M21*B20</f>
        <v>10500</v>
      </c>
      <c r="N20" s="12">
        <f>N21*B20</f>
        <v>9000</v>
      </c>
      <c r="O20" s="12">
        <f>O21*B20</f>
        <v>0</v>
      </c>
      <c r="P20" s="12">
        <f>P21*B20</f>
        <v>0</v>
      </c>
      <c r="Q20" s="13">
        <f>SUM(B20:P20)</f>
        <v>64650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ht="15.6" x14ac:dyDescent="0.3">
      <c r="A21" s="77"/>
      <c r="B21" s="79"/>
      <c r="C21" s="64" t="s">
        <v>19</v>
      </c>
      <c r="D21" s="65"/>
      <c r="E21" s="15">
        <v>5</v>
      </c>
      <c r="F21" s="15">
        <v>25</v>
      </c>
      <c r="G21" s="15">
        <v>5</v>
      </c>
      <c r="H21" s="15"/>
      <c r="I21" s="15">
        <v>55</v>
      </c>
      <c r="J21" s="15">
        <v>70</v>
      </c>
      <c r="K21" s="15">
        <v>70</v>
      </c>
      <c r="L21" s="15">
        <v>70</v>
      </c>
      <c r="M21" s="15">
        <v>70</v>
      </c>
      <c r="N21" s="15">
        <v>60</v>
      </c>
      <c r="O21" s="15"/>
      <c r="P21" s="15"/>
      <c r="Q21" s="16"/>
      <c r="R21" s="1"/>
      <c r="S21" s="1"/>
      <c r="T21" s="1"/>
      <c r="U21" s="1"/>
      <c r="V21" s="1"/>
      <c r="W21" s="1"/>
      <c r="X21" s="1"/>
      <c r="Y21" s="1"/>
      <c r="Z21" s="1"/>
    </row>
    <row r="22" spans="1:26" ht="27" customHeight="1" x14ac:dyDescent="0.3">
      <c r="A22" s="39" t="s">
        <v>46</v>
      </c>
      <c r="B22" s="80"/>
      <c r="C22" s="81"/>
      <c r="D22" s="82"/>
      <c r="E22" s="35">
        <f t="shared" ref="E22:G22" si="0">SUM(E10:E21)</f>
        <v>1041</v>
      </c>
      <c r="F22" s="35">
        <f t="shared" si="0"/>
        <v>6990</v>
      </c>
      <c r="G22" s="35">
        <f t="shared" si="0"/>
        <v>1644</v>
      </c>
      <c r="H22" s="35">
        <f>SUM(H10:H20)</f>
        <v>1933</v>
      </c>
      <c r="I22" s="35">
        <f t="shared" ref="I22:N22" si="1">SUM(I10:I21)</f>
        <v>9718</v>
      </c>
      <c r="J22" s="35">
        <f t="shared" si="1"/>
        <v>13112</v>
      </c>
      <c r="K22" s="35">
        <f t="shared" si="1"/>
        <v>12067</v>
      </c>
      <c r="L22" s="35">
        <f t="shared" si="1"/>
        <v>12297</v>
      </c>
      <c r="M22" s="35">
        <f t="shared" si="1"/>
        <v>10905</v>
      </c>
      <c r="N22" s="35">
        <f t="shared" si="1"/>
        <v>9274</v>
      </c>
      <c r="O22" s="35">
        <f t="shared" ref="O22:Q22" si="2">SUM(O10:O20)</f>
        <v>214</v>
      </c>
      <c r="P22" s="35">
        <f t="shared" si="2"/>
        <v>214</v>
      </c>
      <c r="Q22" s="35">
        <f t="shared" si="2"/>
        <v>79500</v>
      </c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36" customHeight="1" x14ac:dyDescent="0.3">
      <c r="A23" s="66" t="s">
        <v>21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6"/>
      <c r="R23" s="1"/>
      <c r="S23" s="1"/>
      <c r="T23" s="1"/>
      <c r="U23" s="1"/>
      <c r="V23" s="1"/>
      <c r="W23" s="1"/>
      <c r="X23" s="1"/>
      <c r="Y23" s="1"/>
      <c r="Z23" s="1"/>
    </row>
    <row r="24" spans="1:26" ht="26.4" x14ac:dyDescent="0.3">
      <c r="A24" s="24" t="s">
        <v>47</v>
      </c>
      <c r="B24" s="25" t="s">
        <v>23</v>
      </c>
      <c r="C24" s="25" t="s">
        <v>24</v>
      </c>
      <c r="D24" s="25" t="s">
        <v>25</v>
      </c>
      <c r="E24" s="26" t="s">
        <v>2</v>
      </c>
      <c r="F24" s="26" t="s">
        <v>3</v>
      </c>
      <c r="G24" s="26" t="s">
        <v>4</v>
      </c>
      <c r="H24" s="26" t="s">
        <v>5</v>
      </c>
      <c r="I24" s="26" t="s">
        <v>6</v>
      </c>
      <c r="J24" s="26" t="s">
        <v>7</v>
      </c>
      <c r="K24" s="26" t="s">
        <v>8</v>
      </c>
      <c r="L24" s="26" t="s">
        <v>9</v>
      </c>
      <c r="M24" s="26" t="s">
        <v>10</v>
      </c>
      <c r="N24" s="26" t="s">
        <v>11</v>
      </c>
      <c r="O24" s="26" t="s">
        <v>12</v>
      </c>
      <c r="P24" s="26" t="s">
        <v>13</v>
      </c>
      <c r="Q24" s="26" t="s">
        <v>17</v>
      </c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27" t="s">
        <v>48</v>
      </c>
      <c r="B25" s="28">
        <v>4000</v>
      </c>
      <c r="C25" s="28">
        <v>0</v>
      </c>
      <c r="D25" s="28"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30">
        <f t="shared" ref="Q25:Q30" si="3">SUM(B25:P25)</f>
        <v>4000</v>
      </c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27" t="s">
        <v>49</v>
      </c>
      <c r="B26" s="28">
        <v>0</v>
      </c>
      <c r="C26" s="28">
        <v>0</v>
      </c>
      <c r="D26" s="28">
        <v>0</v>
      </c>
      <c r="E26" s="29">
        <v>0</v>
      </c>
      <c r="F26" s="29">
        <v>0</v>
      </c>
      <c r="G26" s="29">
        <v>1500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30">
        <f t="shared" si="3"/>
        <v>1500</v>
      </c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27" t="s">
        <v>50</v>
      </c>
      <c r="B27" s="28">
        <v>0</v>
      </c>
      <c r="C27" s="28">
        <v>0</v>
      </c>
      <c r="D27" s="28">
        <v>0</v>
      </c>
      <c r="E27" s="29">
        <v>50</v>
      </c>
      <c r="F27" s="29">
        <v>50</v>
      </c>
      <c r="G27" s="29">
        <v>100</v>
      </c>
      <c r="H27" s="29">
        <v>200</v>
      </c>
      <c r="I27" s="29">
        <v>200</v>
      </c>
      <c r="J27" s="29">
        <v>200</v>
      </c>
      <c r="K27" s="29">
        <v>100</v>
      </c>
      <c r="L27" s="29">
        <v>100</v>
      </c>
      <c r="M27" s="29">
        <v>50</v>
      </c>
      <c r="N27" s="29">
        <v>50</v>
      </c>
      <c r="O27" s="29">
        <v>100</v>
      </c>
      <c r="P27" s="29">
        <v>150</v>
      </c>
      <c r="Q27" s="30">
        <f t="shared" si="3"/>
        <v>1350</v>
      </c>
      <c r="R27" s="1"/>
      <c r="S27" s="1"/>
      <c r="T27" s="1"/>
      <c r="U27" s="1"/>
      <c r="V27" s="1"/>
      <c r="W27" s="1"/>
      <c r="X27" s="1"/>
      <c r="Y27" s="1"/>
      <c r="Z27" s="1"/>
    </row>
    <row r="28" spans="1:26" ht="30" x14ac:dyDescent="0.3">
      <c r="A28" s="40" t="s">
        <v>51</v>
      </c>
      <c r="B28" s="28">
        <v>0</v>
      </c>
      <c r="C28" s="28">
        <v>0</v>
      </c>
      <c r="D28" s="28">
        <v>0</v>
      </c>
      <c r="E28" s="29">
        <v>0</v>
      </c>
      <c r="F28" s="29">
        <v>0</v>
      </c>
      <c r="G28" s="29">
        <v>100</v>
      </c>
      <c r="H28" s="29">
        <v>100</v>
      </c>
      <c r="I28" s="29">
        <v>100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30">
        <f t="shared" si="3"/>
        <v>300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27"/>
      <c r="B29" s="28">
        <v>0</v>
      </c>
      <c r="C29" s="28">
        <v>0</v>
      </c>
      <c r="D29" s="28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30">
        <f t="shared" si="3"/>
        <v>0</v>
      </c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27"/>
      <c r="B30" s="28">
        <v>0</v>
      </c>
      <c r="C30" s="28">
        <v>0</v>
      </c>
      <c r="D30" s="28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30">
        <f t="shared" si="3"/>
        <v>0</v>
      </c>
      <c r="R30" s="1"/>
      <c r="S30" s="1"/>
      <c r="T30" s="1"/>
      <c r="U30" s="1"/>
      <c r="V30" s="1"/>
      <c r="W30" s="1"/>
      <c r="X30" s="1"/>
      <c r="Y30" s="1"/>
      <c r="Z30" s="1"/>
    </row>
    <row r="31" spans="1:26" ht="23.25" customHeight="1" x14ac:dyDescent="0.3">
      <c r="A31" s="6" t="s">
        <v>52</v>
      </c>
      <c r="B31" s="31">
        <f t="shared" ref="B31:Q31" si="4">SUM(B25:B30)</f>
        <v>4000</v>
      </c>
      <c r="C31" s="31">
        <f t="shared" si="4"/>
        <v>0</v>
      </c>
      <c r="D31" s="31">
        <f t="shared" si="4"/>
        <v>0</v>
      </c>
      <c r="E31" s="31">
        <f t="shared" si="4"/>
        <v>50</v>
      </c>
      <c r="F31" s="31">
        <f t="shared" si="4"/>
        <v>50</v>
      </c>
      <c r="G31" s="31">
        <f t="shared" si="4"/>
        <v>1700</v>
      </c>
      <c r="H31" s="31">
        <f t="shared" si="4"/>
        <v>300</v>
      </c>
      <c r="I31" s="31">
        <f t="shared" si="4"/>
        <v>300</v>
      </c>
      <c r="J31" s="31">
        <f t="shared" si="4"/>
        <v>200</v>
      </c>
      <c r="K31" s="31">
        <f t="shared" si="4"/>
        <v>100</v>
      </c>
      <c r="L31" s="31">
        <f t="shared" si="4"/>
        <v>100</v>
      </c>
      <c r="M31" s="31">
        <f t="shared" si="4"/>
        <v>50</v>
      </c>
      <c r="N31" s="31">
        <f t="shared" si="4"/>
        <v>50</v>
      </c>
      <c r="O31" s="31">
        <f t="shared" si="4"/>
        <v>100</v>
      </c>
      <c r="P31" s="31">
        <f t="shared" si="4"/>
        <v>150</v>
      </c>
      <c r="Q31" s="31">
        <f t="shared" si="4"/>
        <v>7150</v>
      </c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24.75" customHeight="1" x14ac:dyDescent="0.3">
      <c r="A32" s="32" t="s">
        <v>27</v>
      </c>
      <c r="B32" s="33"/>
      <c r="C32" s="33"/>
      <c r="D32" s="33"/>
      <c r="E32" s="33">
        <f t="shared" ref="E32:Q32" si="5">E31/E22</f>
        <v>4.8030739673390971E-2</v>
      </c>
      <c r="F32" s="33">
        <f t="shared" si="5"/>
        <v>7.1530758226037196E-3</v>
      </c>
      <c r="G32" s="33">
        <f t="shared" si="5"/>
        <v>1.0340632603406326</v>
      </c>
      <c r="H32" s="33">
        <f t="shared" si="5"/>
        <v>0.15519917227108121</v>
      </c>
      <c r="I32" s="33">
        <f t="shared" si="5"/>
        <v>3.0870549495781024E-2</v>
      </c>
      <c r="J32" s="33">
        <f t="shared" si="5"/>
        <v>1.525320317266626E-2</v>
      </c>
      <c r="K32" s="33">
        <f t="shared" si="5"/>
        <v>8.2870638932626174E-3</v>
      </c>
      <c r="L32" s="33">
        <f t="shared" si="5"/>
        <v>8.1320647312352612E-3</v>
      </c>
      <c r="M32" s="33">
        <f t="shared" si="5"/>
        <v>4.585052728106373E-3</v>
      </c>
      <c r="N32" s="33">
        <f t="shared" si="5"/>
        <v>5.3914168643519516E-3</v>
      </c>
      <c r="O32" s="33">
        <f t="shared" si="5"/>
        <v>0.46728971962616822</v>
      </c>
      <c r="P32" s="33">
        <f t="shared" si="5"/>
        <v>0.7009345794392523</v>
      </c>
      <c r="Q32" s="33">
        <f t="shared" si="5"/>
        <v>8.9937106918238988E-2</v>
      </c>
      <c r="R32" s="1"/>
      <c r="S32" s="1"/>
      <c r="T32" s="1"/>
      <c r="U32" s="1"/>
      <c r="V32" s="1"/>
      <c r="W32" s="1"/>
      <c r="X32" s="1"/>
      <c r="Y32" s="1"/>
      <c r="Z32" s="1"/>
    </row>
    <row r="33" spans="1:26" ht="15.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6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6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6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6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6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2">
    <mergeCell ref="C21:D21"/>
    <mergeCell ref="B22:D22"/>
    <mergeCell ref="A23:Q23"/>
    <mergeCell ref="C9:D9"/>
    <mergeCell ref="C10:D10"/>
    <mergeCell ref="A12:A13"/>
    <mergeCell ref="B12:B13"/>
    <mergeCell ref="C12:D12"/>
    <mergeCell ref="B14:B15"/>
    <mergeCell ref="C15:D15"/>
    <mergeCell ref="C16:D16"/>
    <mergeCell ref="C17:D17"/>
    <mergeCell ref="C18:D18"/>
    <mergeCell ref="C19:D19"/>
    <mergeCell ref="C20:D20"/>
    <mergeCell ref="A16:A17"/>
    <mergeCell ref="B16:B17"/>
    <mergeCell ref="A18:A19"/>
    <mergeCell ref="B18:B19"/>
    <mergeCell ref="A20:A21"/>
    <mergeCell ref="B20:B21"/>
    <mergeCell ref="A10:A11"/>
    <mergeCell ref="B10:B11"/>
    <mergeCell ref="C11:D11"/>
    <mergeCell ref="C13:D13"/>
    <mergeCell ref="C14:D14"/>
    <mergeCell ref="A14:A15"/>
    <mergeCell ref="A3:Q3"/>
    <mergeCell ref="A4:Q4"/>
    <mergeCell ref="A5:Q5"/>
    <mergeCell ref="A6:D7"/>
    <mergeCell ref="A8:Q8"/>
  </mergeCells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Annee_01</vt:lpstr>
      <vt:lpstr>Annee_02</vt:lpstr>
      <vt:lpstr>Exemple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Wesly Désir</cp:lastModifiedBy>
  <dcterms:modified xsi:type="dcterms:W3CDTF">2024-01-28T16:54:40Z</dcterms:modified>
</cp:coreProperties>
</file>